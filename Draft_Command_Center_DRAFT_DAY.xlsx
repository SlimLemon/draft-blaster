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Draft HQ" sheetId="1" state="visible" r:id="rId3"/>
    <sheet name="Player Board" sheetId="2" state="visible" r:id="rId4"/>
    <sheet name="Auction Log" sheetId="3" state="visible" r:id="rId5"/>
    <sheet name="Team Tracker" sheetId="4" state="visible" r:id="rId6"/>
    <sheet name="My Roster" sheetId="5" state="visible" r:id="rId7"/>
    <sheet name="Strategy" sheetId="6" state="visible" r:id="rId8"/>
    <sheet name="Sources" sheetId="7" state="visible" r:id="rId9"/>
    <sheet name="Draft Grade" sheetId="8" state="visible" r:id="rId10"/>
  </sheets>
  <definedNames>
    <definedName function="false" hidden="false" name="PlayerList" vbProcedure="false">'Player Board'!$A$5:$A$304</definedName>
    <definedName function="false" hidden="false" name="TeamList" vbProcedure="false">'Team Tracker'!$A$5:$A$18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Microsoft Copilot</author>
  </authors>
  <commentList>
    <comment ref="B4" authorId="0">
      <text>
        <r>
          <rPr>
            <sz val="10"/>
            <rFont val="Arial"/>
            <family val="2"/>
          </rPr>
          <t xml:space="preserve">Dropdown from Player Board. Free-text entries are blocked to prevent broken lookups.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2</xdr:rowOff>
              </xdr:from>
              <xdr:to>
                <xdr:col>2</xdr:col>
                <xdr:colOff>21</xdr:colOff>
                <xdr:row>2</xdr:row>
                <xdr:rowOff>4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Dropdown from Team Tracker. Rename opponents before the draft and this list follows automatically.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2</xdr:rowOff>
              </xdr:from>
              <xdr:to>
                <xdr:col>2</xdr:col>
                <xdr:colOff>21</xdr:colOff>
                <xdr:row>2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<sst xmlns="http://schemas.openxmlformats.org/spreadsheetml/2006/main" count="679" uniqueCount="679">
  <si>
    <t xml:space="preserve">AMERESCO'S BEST — 2026 DRAFT HQ v2</t>
  </si>
  <si>
    <t xml:space="preserve">Live value signal • exposure alerts • tier scarcity • rival threat • phase strategy • next-entry guidance</t>
  </si>
  <si>
    <t xml:space="preserve">LIVE ROOM CONTROL</t>
  </si>
  <si>
    <t xml:space="preserve">CURRENT NOMINATION - SELECT FROM DROPDOWN</t>
  </si>
  <si>
    <t xml:space="preserve">POSITION BUDGET</t>
  </si>
  <si>
    <t xml:space="preserve">STRONGEST RIVAL</t>
  </si>
  <si>
    <t xml:space="preserve">Starting budget</t>
  </si>
  <si>
    <t xml:space="preserve">Player</t>
  </si>
  <si>
    <t xml:space="preserve">Position</t>
  </si>
  <si>
    <t xml:space="preserve">Plan</t>
  </si>
  <si>
    <t xml:space="preserve">Actual</t>
  </si>
  <si>
    <t xml:space="preserve">Variance</t>
  </si>
  <si>
    <t xml:space="preserve">Team</t>
  </si>
  <si>
    <t xml:space="preserve">My spend</t>
  </si>
  <si>
    <t xml:space="preserve">Value vs Market</t>
  </si>
  <si>
    <t xml:space="preserve">Signal</t>
  </si>
  <si>
    <t xml:space="preserve">QB</t>
  </si>
  <si>
    <t xml:space="preserve">Max bid</t>
  </si>
  <si>
    <t xml:space="preserve">Budget left</t>
  </si>
  <si>
    <t xml:space="preserve">Market</t>
  </si>
  <si>
    <t xml:space="preserve">Target</t>
  </si>
  <si>
    <t xml:space="preserve">RB</t>
  </si>
  <si>
    <t xml:space="preserve">Slots left</t>
  </si>
  <si>
    <t xml:space="preserve">Players won</t>
  </si>
  <si>
    <t xml:space="preserve">Stop price</t>
  </si>
  <si>
    <t xml:space="preserve">SAFE BID</t>
  </si>
  <si>
    <t xml:space="preserve">WR</t>
  </si>
  <si>
    <t xml:space="preserve">Need to drain</t>
  </si>
  <si>
    <t xml:space="preserve">Status</t>
  </si>
  <si>
    <t xml:space="preserve">Nomination</t>
  </si>
  <si>
    <t xml:space="preserve">TE</t>
  </si>
  <si>
    <t xml:space="preserve">Threat</t>
  </si>
  <si>
    <t xml:space="preserve">Legal max bid</t>
  </si>
  <si>
    <t xml:space="preserve">Injury / news</t>
  </si>
  <si>
    <t xml:space="preserve">D/ST</t>
  </si>
  <si>
    <t xml:space="preserve">Action</t>
  </si>
  <si>
    <t xml:space="preserve">Room dollars left</t>
  </si>
  <si>
    <t xml:space="preserve">K</t>
  </si>
  <si>
    <t xml:space="preserve">Pool value left</t>
  </si>
  <si>
    <t xml:space="preserve">Inflation</t>
  </si>
  <si>
    <t xml:space="preserve">DRAFT PROGRESS</t>
  </si>
  <si>
    <t xml:space="preserve">DYNAMIC GAME FLOW</t>
  </si>
  <si>
    <t xml:space="preserve">POSITION HEALTH &amp; REMAINING NEEDS</t>
  </si>
  <si>
    <t xml:space="preserve">Nominations completed</t>
  </si>
  <si>
    <t xml:space="preserve">Phase status</t>
  </si>
  <si>
    <t xml:space="preserve">Owned</t>
  </si>
  <si>
    <t xml:space="preserve">Needed</t>
  </si>
  <si>
    <t xml:space="preserve">Estimated time left</t>
  </si>
  <si>
    <t xml:space="preserve">Market state</t>
  </si>
  <si>
    <t xml:space="preserve">Current phase</t>
  </si>
  <si>
    <t xml:space="preserve">Recommended</t>
  </si>
  <si>
    <t xml:space="preserve">Last sale</t>
  </si>
  <si>
    <t xml:space="preserve">STAR TRACKER — TOP AVAILABLE BY VALUE TIER</t>
  </si>
  <si>
    <t xml:space="preserve">ENDGAME MUST-HAVES</t>
  </si>
  <si>
    <t xml:space="preserve">Tier</t>
  </si>
  <si>
    <t xml:space="preserve">Ceiling band</t>
  </si>
  <si>
    <t xml:space="preserve">Left</t>
  </si>
  <si>
    <t xml:space="preserve">Top three available</t>
  </si>
  <si>
    <t xml:space="preserve">Pos</t>
  </si>
  <si>
    <t xml:space="preserve">Max</t>
  </si>
  <si>
    <t xml:space="preserve">Sold</t>
  </si>
  <si>
    <t xml:space="preserve">TIER 1</t>
  </si>
  <si>
    <t xml:space="preserve">$55+</t>
  </si>
  <si>
    <t xml:space="preserve">Matthew Stafford</t>
  </si>
  <si>
    <t xml:space="preserve">TIER 2</t>
  </si>
  <si>
    <t xml:space="preserve">$40–$54</t>
  </si>
  <si>
    <t xml:space="preserve">Wan'Dale Robinson</t>
  </si>
  <si>
    <t xml:space="preserve">TIER 3</t>
  </si>
  <si>
    <t xml:space="preserve">$25–$39</t>
  </si>
  <si>
    <t xml:space="preserve">Michael Wilson</t>
  </si>
  <si>
    <t xml:space="preserve">Kyle Pitts Sr.</t>
  </si>
  <si>
    <t xml:space="preserve">David Montgomery</t>
  </si>
  <si>
    <t xml:space="preserve">QUICK ENTRY &amp; RECOVERY — MACRO-FREE</t>
  </si>
  <si>
    <t xml:space="preserve">Next entry row</t>
  </si>
  <si>
    <t xml:space="preserve">Undo last sale</t>
  </si>
  <si>
    <t xml:space="preserve">Refresh / reset</t>
  </si>
  <si>
    <t xml:space="preserve">Refresh: Ctrl+Alt+F9. Reset: select Auction Log input columns B, D:F and I from row 5 down, then press Delete.</t>
  </si>
  <si>
    <t xml:space="preserve">CUSTOM 2026 PLAYER BOARD — VALUE FIRST</t>
  </si>
  <si>
    <t xml:space="preserve">LIVE FILTERS: Availability + Position + Signal. Player and Value columns stay frozen while scrolling.</t>
  </si>
  <si>
    <t xml:space="preserve">V vs Mkt</t>
  </si>
  <si>
    <t xml:space="preserve">Owner</t>
  </si>
  <si>
    <t xml:space="preserve">Bye</t>
  </si>
  <si>
    <t xml:space="preserve">ECR</t>
  </si>
  <si>
    <t xml:space="preserve">FP Proj</t>
  </si>
  <si>
    <t xml:space="preserve">Clay PPR</t>
  </si>
  <si>
    <t xml:space="preserve">ESPN 10T $</t>
  </si>
  <si>
    <t xml:space="preserve">14T Market</t>
  </si>
  <si>
    <t xml:space="preserve">Consensus $</t>
  </si>
  <si>
    <t xml:space="preserve">Bonus $</t>
  </si>
  <si>
    <t xml:space="preserve">Injury $</t>
  </si>
  <si>
    <t xml:space="preserve">Hard Ceiling</t>
  </si>
  <si>
    <t xml:space="preserve">Nominate</t>
  </si>
  <si>
    <t xml:space="preserve">Injury / News</t>
  </si>
  <si>
    <t xml:space="preserve">Sale Value</t>
  </si>
  <si>
    <t xml:space="preserve">Pool</t>
  </si>
  <si>
    <t xml:space="preserve">Jahmyr Gibbs</t>
  </si>
  <si>
    <t xml:space="preserve">DET</t>
  </si>
  <si>
    <t xml:space="preserve">TARGET</t>
  </si>
  <si>
    <t xml:space="preserve">YES</t>
  </si>
  <si>
    <t xml:space="preserve">Ja'Marr Chase</t>
  </si>
  <si>
    <t xml:space="preserve">CIN</t>
  </si>
  <si>
    <t xml:space="preserve">Bijan Robinson</t>
  </si>
  <si>
    <t xml:space="preserve">ATL</t>
  </si>
  <si>
    <t xml:space="preserve">Jaxon Smith-Njigba</t>
  </si>
  <si>
    <t xml:space="preserve">SEA</t>
  </si>
  <si>
    <t xml:space="preserve">Puka Nacua</t>
  </si>
  <si>
    <t xml:space="preserve">LAR</t>
  </si>
  <si>
    <t xml:space="preserve">DRAIN</t>
  </si>
  <si>
    <t>Groin - still questionable; was not practicing as of 8/24 (ESPN 8/26). Discount only — no smash at full Target.</t>
  </si>
  <si>
    <t xml:space="preserve">Amon-Ra St. Brown</t>
  </si>
  <si>
    <t xml:space="preserve">Christian McCaffrey</t>
  </si>
  <si>
    <t xml:space="preserve">SF</t>
  </si>
  <si>
    <t xml:space="preserve">Jonathan Taylor</t>
  </si>
  <si>
    <t xml:space="preserve">IND</t>
  </si>
  <si>
    <t xml:space="preserve">CeeDee Lamb</t>
  </si>
  <si>
    <t xml:space="preserve">DAL</t>
  </si>
  <si>
    <t xml:space="preserve">Drake London</t>
  </si>
  <si>
    <t xml:space="preserve">Justin Jefferson</t>
  </si>
  <si>
    <t xml:space="preserve">MIN</t>
  </si>
  <si>
    <t xml:space="preserve">De'Von Achane</t>
  </si>
  <si>
    <t xml:space="preserve">MIA</t>
  </si>
  <si>
    <t xml:space="preserve">James Cook III</t>
  </si>
  <si>
    <t xml:space="preserve">BUF</t>
  </si>
  <si>
    <t xml:space="preserve">Rashee Rice</t>
  </si>
  <si>
    <t xml:space="preserve">KC</t>
  </si>
  <si>
    <t xml:space="preserve">HOLD</t>
  </si>
  <si>
    <t xml:space="preserve">Chase Brown</t>
  </si>
  <si>
    <t xml:space="preserve">Chris Olave</t>
  </si>
  <si>
    <t xml:space="preserve">NO</t>
  </si>
  <si>
    <t xml:space="preserve">A.J. Brown</t>
  </si>
  <si>
    <t xml:space="preserve">NE</t>
  </si>
  <si>
    <t xml:space="preserve">Derrick Henry</t>
  </si>
  <si>
    <t xml:space="preserve">BAL</t>
  </si>
  <si>
    <t xml:space="preserve">Nico Collins</t>
  </si>
  <si>
    <t xml:space="preserve">HOU</t>
  </si>
  <si>
    <t xml:space="preserve">Trey McBride</t>
  </si>
  <si>
    <t xml:space="preserve">ARI</t>
  </si>
  <si>
    <t xml:space="preserve">Saquon Barkley</t>
  </si>
  <si>
    <t xml:space="preserve">PHI</t>
  </si>
  <si>
    <t xml:space="preserve">Kenneth Walker III</t>
  </si>
  <si>
    <t xml:space="preserve">Brock Bowers</t>
  </si>
  <si>
    <t xml:space="preserve">LV</t>
  </si>
  <si>
    <t xml:space="preserve">George Pickens</t>
  </si>
  <si>
    <t xml:space="preserve">Omarion Hampton</t>
  </si>
  <si>
    <t xml:space="preserve">LAC</t>
  </si>
  <si>
    <t xml:space="preserve">Ashton Jeanty</t>
  </si>
  <si>
    <t>Ankle - Raiders optimistic 'more low than high' sprain, not long-term (Rapoport 8/25 via ESPN). Buyable near Target; not a healthy stud.</t>
  </si>
  <si>
    <t xml:space="preserve">Garrett Wilson</t>
  </si>
  <si>
    <t xml:space="preserve">NYJ</t>
  </si>
  <si>
    <t xml:space="preserve">Malik Nabers</t>
  </si>
  <si>
    <t xml:space="preserve">NYG</t>
  </si>
  <si>
    <t>Knee - still on limited/red-jersey path as of 8/23 (ESPN). Cap at Target; do not chase.</t>
  </si>
  <si>
    <t xml:space="preserve">Zay Flowers</t>
  </si>
  <si>
    <t xml:space="preserve">DeVonta Smith</t>
  </si>
  <si>
    <t xml:space="preserve">Josh Allen</t>
  </si>
  <si>
    <t xml:space="preserve">Tetairoa McMillan</t>
  </si>
  <si>
    <t xml:space="preserve">CAR</t>
  </si>
  <si>
    <t xml:space="preserve">Josh Jacobs</t>
  </si>
  <si>
    <t xml:space="preserve">GB</t>
  </si>
  <si>
    <t xml:space="preserve">Jeremiyah Love</t>
  </si>
  <si>
    <t>High ankle - light agility only 8/26; est. return Sep 13 (ESPN). Week 1 risk real — fade unless steal.</t>
  </si>
  <si>
    <t xml:space="preserve">Breece Hall</t>
  </si>
  <si>
    <t>Groin - side agility only 8/24; earlier 2–3 week miss outlook (ESPN). Discount only — early-season hole.</t>
  </si>
  <si>
    <t xml:space="preserve">Javonte Williams</t>
  </si>
  <si>
    <t xml:space="preserve">Kyren Williams</t>
  </si>
  <si>
    <t xml:space="preserve">Ladd McConkey</t>
  </si>
  <si>
    <t xml:space="preserve">Tee Higgins</t>
  </si>
  <si>
    <t xml:space="preserve">Travis Etienne Jr.</t>
  </si>
  <si>
    <t xml:space="preserve">Cam Skattebo</t>
  </si>
  <si>
    <t xml:space="preserve">Davante Adams</t>
  </si>
  <si>
    <t xml:space="preserve">Jaylen Waddle</t>
  </si>
  <si>
    <t xml:space="preserve">DEN</t>
  </si>
  <si>
    <t xml:space="preserve">Emeka Egbuka</t>
  </si>
  <si>
    <t xml:space="preserve">TB</t>
  </si>
  <si>
    <t>Toe - not participating in practice as of 8/25 (ESPN). Soft pass / require big discount.</t>
  </si>
  <si>
    <t xml:space="preserve">Bucky Irving</t>
  </si>
  <si>
    <t xml:space="preserve">Terry McLaurin</t>
  </si>
  <si>
    <t xml:space="preserve">WAS</t>
  </si>
  <si>
    <t xml:space="preserve">Jameson Williams</t>
  </si>
  <si>
    <t xml:space="preserve">D'Andre Swift</t>
  </si>
  <si>
    <t xml:space="preserve">CHI</t>
  </si>
  <si>
    <t xml:space="preserve">Colston Loveland</t>
  </si>
  <si>
    <t xml:space="preserve">DJ Moore</t>
  </si>
  <si>
    <t xml:space="preserve">Rome Odunze</t>
  </si>
  <si>
    <t xml:space="preserve">Quinshon Judkins</t>
  </si>
  <si>
    <t xml:space="preserve">CLE</t>
  </si>
  <si>
    <t xml:space="preserve">Undisclosed - reportedly 'a little something nagging, nothing big'; did not play in second preseason game (8/24)</t>
  </si>
  <si>
    <t xml:space="preserve">Lamar Jackson</t>
  </si>
  <si>
    <t xml:space="preserve">Drake Maye</t>
  </si>
  <si>
    <t xml:space="preserve">Luther Burden III</t>
  </si>
  <si>
    <t>Groin - returned to practice 8/26 but individuals only (ESPN).</t>
  </si>
  <si>
    <t xml:space="preserve">Tyler Warren</t>
  </si>
  <si>
    <t>Groin - may sit practice this week but staff preparing him for opener (8/25 via ESPN). Week 1 intent intact.</t>
  </si>
  <si>
    <t xml:space="preserve">Mike Evans</t>
  </si>
  <si>
    <t>Groin - not practicing 8/25 (ESPN). NEW caution vs older quad note — do not pay healthy price.</t>
  </si>
  <si>
    <t xml:space="preserve">Bhayshul Tuten</t>
  </si>
  <si>
    <t xml:space="preserve">JAC</t>
  </si>
  <si>
    <t xml:space="preserve">Jayden Daniels</t>
  </si>
  <si>
    <t xml:space="preserve">Marvin Harrison Jr.</t>
  </si>
  <si>
    <t xml:space="preserve">Joe Burrow</t>
  </si>
  <si>
    <t xml:space="preserve">Christian Watson</t>
  </si>
  <si>
    <t xml:space="preserve">Carnell Tate</t>
  </si>
  <si>
    <t xml:space="preserve">TEN</t>
  </si>
  <si>
    <t xml:space="preserve">DK Metcalf</t>
  </si>
  <si>
    <t xml:space="preserve">PIT</t>
  </si>
  <si>
    <t>Undisclosed - returned to practice 8/24 after sidelined since 8/8 (ESPN).</t>
  </si>
  <si>
    <t xml:space="preserve">Courtland Sutton</t>
  </si>
  <si>
    <t xml:space="preserve">Jalen Hurts</t>
  </si>
  <si>
    <t xml:space="preserve">Parker Washington</t>
  </si>
  <si>
    <t xml:space="preserve">Undisclosed - participated in walkthrough on 8/23; should return to practice week of 8/24</t>
  </si>
  <si>
    <t xml:space="preserve">TreVeyon Henderson</t>
  </si>
  <si>
    <t xml:space="preserve">Jadarian Price</t>
  </si>
  <si>
    <t xml:space="preserve">Harold Fannin Jr.</t>
  </si>
  <si>
    <t xml:space="preserve">Jaylen Warren</t>
  </si>
  <si>
    <t xml:space="preserve">Alec Pierce</t>
  </si>
  <si>
    <t xml:space="preserve">Ankle - will not return during training camp but is "moving around well" (8/19)</t>
  </si>
  <si>
    <t xml:space="preserve">Dak Prescott</t>
  </si>
  <si>
    <t xml:space="preserve">Rhamondre Stevenson</t>
  </si>
  <si>
    <t xml:space="preserve">Michael Pittman Jr.</t>
  </si>
  <si>
    <t xml:space="preserve">Hamstring - no concern that he will miss Week 1 (8/24)</t>
  </si>
  <si>
    <t xml:space="preserve">Tony Pollard</t>
  </si>
  <si>
    <t xml:space="preserve">Trevor Lawrence</t>
  </si>
  <si>
    <t xml:space="preserve">Brian Thomas Jr.</t>
  </si>
  <si>
    <t xml:space="preserve">Rico Dowdle</t>
  </si>
  <si>
    <t xml:space="preserve">Brock Purdy</t>
  </si>
  <si>
    <t xml:space="preserve">Caleb Williams</t>
  </si>
  <si>
    <t xml:space="preserve">Justin Herbert</t>
  </si>
  <si>
    <t xml:space="preserve">J.K. Dobbins</t>
  </si>
  <si>
    <t xml:space="preserve">Chris Godwin Jr.</t>
  </si>
  <si>
    <t xml:space="preserve">Sam LaPorta</t>
  </si>
  <si>
    <t>Hip - returned to practice 8/25 (ESPN). Prior 'uncertain' note stale; OK near Target.</t>
  </si>
  <si>
    <t xml:space="preserve">Jonathon Brooks</t>
  </si>
  <si>
    <t xml:space="preserve">RJ Harvey</t>
  </si>
  <si>
    <t xml:space="preserve">Jaxson Dart</t>
  </si>
  <si>
    <t xml:space="preserve">Travis Kelce</t>
  </si>
  <si>
    <t xml:space="preserve">George Kittle</t>
  </si>
  <si>
    <t>Achilles - activated from PUP 8/23 (ESPN). Fine as cheap TE upside.</t>
  </si>
  <si>
    <t xml:space="preserve">Tucker Kraft</t>
  </si>
  <si>
    <t>Knee - participating in team drills 8/26 (ESPN). Less dire than prior half-season limit comment.</t>
  </si>
  <si>
    <t xml:space="preserve">Josh Downs</t>
  </si>
  <si>
    <t xml:space="preserve">Quentin Johnston</t>
  </si>
  <si>
    <t xml:space="preserve">Lower body - not expected to miss much time (8/24)</t>
  </si>
  <si>
    <t xml:space="preserve">Bo Nix</t>
  </si>
  <si>
    <t xml:space="preserve">Jakobi Meyers</t>
  </si>
  <si>
    <t xml:space="preserve">Hand - wearing a brace on his right hand; could miss practice week of (8/24)</t>
  </si>
  <si>
    <t xml:space="preserve">Jared Goff</t>
  </si>
  <si>
    <t xml:space="preserve">Stefon Diggs</t>
  </si>
  <si>
    <t xml:space="preserve">Chuba Hubbard</t>
  </si>
  <si>
    <t>Hamstring - remains on track for Week 1 (8/24 via ESPN).</t>
  </si>
  <si>
    <t xml:space="preserve">Patrick Mahomes II</t>
  </si>
  <si>
    <t>Knee (ACL) - 'extremely confident' for Week 1 (8/22 via ESPN). Cheap QB plan still OK.</t>
  </si>
  <si>
    <t xml:space="preserve">Kenny Gainwell</t>
  </si>
  <si>
    <t xml:space="preserve">Jayden Reed</t>
  </si>
  <si>
    <t xml:space="preserve">Jordan Addison</t>
  </si>
  <si>
    <t xml:space="preserve">Rachaad White</t>
  </si>
  <si>
    <t xml:space="preserve">Hamstring - working off to the side at practice but not playing in second preseason game (8/21)</t>
  </si>
  <si>
    <t xml:space="preserve">Makai Lemon</t>
  </si>
  <si>
    <t xml:space="preserve">Blake Corum</t>
  </si>
  <si>
    <t xml:space="preserve">Dalton Kincaid</t>
  </si>
  <si>
    <t xml:space="preserve">Aaron Jones Sr.</t>
  </si>
  <si>
    <t xml:space="preserve">Jacory Croskey-Merritt</t>
  </si>
  <si>
    <t xml:space="preserve">Undisclosed - came up "a little gimpy" after a play during practice on 8/20</t>
  </si>
  <si>
    <t xml:space="preserve">Jake Ferguson</t>
  </si>
  <si>
    <t xml:space="preserve">Dallas Goedert</t>
  </si>
  <si>
    <t xml:space="preserve">Jordan Mason</t>
  </si>
  <si>
    <t xml:space="preserve">Khalil Shakir</t>
  </si>
  <si>
    <t xml:space="preserve">Undisclosed - does not seem to be a severe issue but sat out second preseason game (8/24)</t>
  </si>
  <si>
    <t xml:space="preserve">Isaiah Likely</t>
  </si>
  <si>
    <t xml:space="preserve">Xavier Worthy</t>
  </si>
  <si>
    <t xml:space="preserve">Shoulder - participating in 7-on-7 drills (8/24)</t>
  </si>
  <si>
    <t xml:space="preserve">Matthew Golden</t>
  </si>
  <si>
    <t xml:space="preserve">Mark Andrews</t>
  </si>
  <si>
    <t xml:space="preserve">Kyler Murray</t>
  </si>
  <si>
    <t xml:space="preserve">Kyle Monangai</t>
  </si>
  <si>
    <t xml:space="preserve">Knee - considered week-to-week (8/24)</t>
  </si>
  <si>
    <t xml:space="preserve">Baker Mayfield</t>
  </si>
  <si>
    <t xml:space="preserve">Jordan Love</t>
  </si>
  <si>
    <t xml:space="preserve">Tyler Shough</t>
  </si>
  <si>
    <t xml:space="preserve">Deebo Samuel Sr.</t>
  </si>
  <si>
    <t xml:space="preserve">KC Concepcion</t>
  </si>
  <si>
    <t xml:space="preserve">Jalen Coker</t>
  </si>
  <si>
    <t xml:space="preserve">Romeo Doubs</t>
  </si>
  <si>
    <t xml:space="preserve">Juwan Johnson</t>
  </si>
  <si>
    <t xml:space="preserve">Woody Marks</t>
  </si>
  <si>
    <t xml:space="preserve">Tyjae Spears</t>
  </si>
  <si>
    <t xml:space="preserve">Tyler Allgeier</t>
  </si>
  <si>
    <t xml:space="preserve">Chris Rodriguez Jr.</t>
  </si>
  <si>
    <t xml:space="preserve">Dylan Sampson</t>
  </si>
  <si>
    <t xml:space="preserve">Keaton Mitchell</t>
  </si>
  <si>
    <t xml:space="preserve">Tyrone Tracy Jr.</t>
  </si>
  <si>
    <t xml:space="preserve">Malik Willis</t>
  </si>
  <si>
    <t xml:space="preserve">ENDGAME</t>
  </si>
  <si>
    <t xml:space="preserve">De'Zhaun Stribling</t>
  </si>
  <si>
    <t xml:space="preserve">Daniel Jones</t>
  </si>
  <si>
    <t xml:space="preserve">Denzel Boston</t>
  </si>
  <si>
    <t xml:space="preserve">Rashid Shaheed</t>
  </si>
  <si>
    <t xml:space="preserve">Zach Charbonnet</t>
  </si>
  <si>
    <t>Knee - Out / active PUP as of mid-Aug (ESPN). Skip unless $1 lottery.</t>
  </si>
  <si>
    <t xml:space="preserve">Brenton Strange</t>
  </si>
  <si>
    <t xml:space="preserve">Isiah Pacheco</t>
  </si>
  <si>
    <t xml:space="preserve">MCL sprain - should play in Week 1 (8/24)</t>
  </si>
  <si>
    <t xml:space="preserve">Dalton Schultz</t>
  </si>
  <si>
    <t xml:space="preserve">Alvin Kamara</t>
  </si>
  <si>
    <t>MCL sprain - out at least ~1 month; Week 1 in jeopardy (Schefter 8/19 via ESPN). Bench dart only.</t>
  </si>
  <si>
    <t xml:space="preserve">Hunter Henry</t>
  </si>
  <si>
    <t xml:space="preserve">Adonai Mitchell</t>
  </si>
  <si>
    <t xml:space="preserve">Houston Texans</t>
  </si>
  <si>
    <t xml:space="preserve">Tank Bigsby</t>
  </si>
  <si>
    <t xml:space="preserve">Braelon Allen</t>
  </si>
  <si>
    <t xml:space="preserve">Mike Washington Jr.</t>
  </si>
  <si>
    <t xml:space="preserve">Denver Broncos</t>
  </si>
  <si>
    <t xml:space="preserve">Brian Robinson Jr.</t>
  </si>
  <si>
    <t xml:space="preserve">Los Angeles Rams</t>
  </si>
  <si>
    <t xml:space="preserve">Seattle Seahawks</t>
  </si>
  <si>
    <t xml:space="preserve">T.J. Hockenson</t>
  </si>
  <si>
    <t xml:space="preserve">AJ Dillon</t>
  </si>
  <si>
    <t xml:space="preserve">Jordyn Tyson</t>
  </si>
  <si>
    <t xml:space="preserve">Sam Darnold</t>
  </si>
  <si>
    <t xml:space="preserve">C.J. Stroud</t>
  </si>
  <si>
    <t xml:space="preserve">Cam Ward</t>
  </si>
  <si>
    <t xml:space="preserve">Chig Okonkwo</t>
  </si>
  <si>
    <t xml:space="preserve">Jonah Coleman</t>
  </si>
  <si>
    <t xml:space="preserve">Tre Tucker</t>
  </si>
  <si>
    <t xml:space="preserve">Jerry Jeudy</t>
  </si>
  <si>
    <t xml:space="preserve">Jauan Jennings</t>
  </si>
  <si>
    <t xml:space="preserve">Bryce Young</t>
  </si>
  <si>
    <t xml:space="preserve">Jalen McMillan</t>
  </si>
  <si>
    <t>Knee - did not travel to 8/26 joint practice (ESPN). Elevated caution.</t>
  </si>
  <si>
    <t xml:space="preserve">Tre' Harris</t>
  </si>
  <si>
    <t xml:space="preserve">Omar Cooper Jr.</t>
  </si>
  <si>
    <t xml:space="preserve">Jacoby Brissett</t>
  </si>
  <si>
    <t xml:space="preserve">MarShawn Lloyd</t>
  </si>
  <si>
    <t xml:space="preserve">Dontayvion Wicks</t>
  </si>
  <si>
    <t xml:space="preserve">Philadelphia Eagles</t>
  </si>
  <si>
    <t xml:space="preserve">Ryan Flournoy</t>
  </si>
  <si>
    <t xml:space="preserve">Pat Bryant</t>
  </si>
  <si>
    <t xml:space="preserve">Jalen Nailor</t>
  </si>
  <si>
    <t xml:space="preserve">Kayshon Boutte</t>
  </si>
  <si>
    <t xml:space="preserve">Malik Washington</t>
  </si>
  <si>
    <t xml:space="preserve">Emmett Johnson</t>
  </si>
  <si>
    <t xml:space="preserve">Travis Hunter</t>
  </si>
  <si>
    <t xml:space="preserve">Brandon Aubrey</t>
  </si>
  <si>
    <t xml:space="preserve">Pittsburgh Steelers</t>
  </si>
  <si>
    <t xml:space="preserve">Keenan Allen</t>
  </si>
  <si>
    <t xml:space="preserve">Minnesota Vikings</t>
  </si>
  <si>
    <t xml:space="preserve">Ray Davis</t>
  </si>
  <si>
    <t xml:space="preserve">Sean Tucker</t>
  </si>
  <si>
    <t xml:space="preserve">Jaylin Noel</t>
  </si>
  <si>
    <t xml:space="preserve">Oronde Gadsden II</t>
  </si>
  <si>
    <t xml:space="preserve">Kimani Vidal</t>
  </si>
  <si>
    <t xml:space="preserve">AJ Barner</t>
  </si>
  <si>
    <t xml:space="preserve">Calvin Ridley</t>
  </si>
  <si>
    <t xml:space="preserve">Cameron Dicker</t>
  </si>
  <si>
    <t xml:space="preserve">Los Angeles Chargers</t>
  </si>
  <si>
    <t xml:space="preserve">Ka'imi Fairbairn</t>
  </si>
  <si>
    <t xml:space="preserve">Cam Little</t>
  </si>
  <si>
    <t xml:space="preserve">Tank Dell</t>
  </si>
  <si>
    <t xml:space="preserve">Knee (ACL/MCL) - unsure if he will play in preseason; Week 1 status unclear (8/24)</t>
  </si>
  <si>
    <t xml:space="preserve">Baltimore Ravens</t>
  </si>
  <si>
    <t xml:space="preserve">Jason Myers</t>
  </si>
  <si>
    <t xml:space="preserve">Nicholas Singleton</t>
  </si>
  <si>
    <t xml:space="preserve">James Conner</t>
  </si>
  <si>
    <t xml:space="preserve">Gunnar Helm</t>
  </si>
  <si>
    <t xml:space="preserve">Terrance Ferguson</t>
  </si>
  <si>
    <t xml:space="preserve">Tyler Loop</t>
  </si>
  <si>
    <t xml:space="preserve">Eddy Pineiro</t>
  </si>
  <si>
    <t xml:space="preserve">Kenyon Sadiq</t>
  </si>
  <si>
    <t xml:space="preserve">Geno Smith</t>
  </si>
  <si>
    <t xml:space="preserve">Aaron Rodgers</t>
  </si>
  <si>
    <t xml:space="preserve">Isaac TeSlaa</t>
  </si>
  <si>
    <t xml:space="preserve">Troy Franklin</t>
  </si>
  <si>
    <t xml:space="preserve">Darnell Mooney</t>
  </si>
  <si>
    <t xml:space="preserve">Jake Bates</t>
  </si>
  <si>
    <t xml:space="preserve">Rashod Bateman</t>
  </si>
  <si>
    <t xml:space="preserve">Cairo Santos</t>
  </si>
  <si>
    <t xml:space="preserve">Cooper Kupp</t>
  </si>
  <si>
    <t xml:space="preserve">Jaydon Blue</t>
  </si>
  <si>
    <t xml:space="preserve">Emanuel Wilson</t>
  </si>
  <si>
    <t xml:space="preserve">Kaytron Allen</t>
  </si>
  <si>
    <t xml:space="preserve">Pat Freiermuth</t>
  </si>
  <si>
    <t xml:space="preserve">Harrison Mevis</t>
  </si>
  <si>
    <t xml:space="preserve">Detroit Lions</t>
  </si>
  <si>
    <t xml:space="preserve">Cade Otton</t>
  </si>
  <si>
    <t xml:space="preserve">Germie Bernard</t>
  </si>
  <si>
    <t xml:space="preserve">Chase McLaughlin</t>
  </si>
  <si>
    <t xml:space="preserve">Buffalo Bills</t>
  </si>
  <si>
    <t xml:space="preserve">Zachariah Branch</t>
  </si>
  <si>
    <t xml:space="preserve">Antonio Williams</t>
  </si>
  <si>
    <t xml:space="preserve">Cleveland Browns</t>
  </si>
  <si>
    <t xml:space="preserve">Jaylen Wright</t>
  </si>
  <si>
    <t xml:space="preserve">Jack Bech</t>
  </si>
  <si>
    <t xml:space="preserve">Evan Engram</t>
  </si>
  <si>
    <t xml:space="preserve">Justice Hill</t>
  </si>
  <si>
    <t xml:space="preserve">David Njoku</t>
  </si>
  <si>
    <t xml:space="preserve">Ja'Kobi Lane</t>
  </si>
  <si>
    <t xml:space="preserve">George Holani</t>
  </si>
  <si>
    <t xml:space="preserve">Ollie Gordon II</t>
  </si>
  <si>
    <t xml:space="preserve">Malachi Fields</t>
  </si>
  <si>
    <t xml:space="preserve">Harrison Butker</t>
  </si>
  <si>
    <t xml:space="preserve">Fernando Mendoza</t>
  </si>
  <si>
    <t xml:space="preserve">Chimere Dike</t>
  </si>
  <si>
    <t xml:space="preserve">Keon Coleman</t>
  </si>
  <si>
    <t xml:space="preserve">Greg Dulcich</t>
  </si>
  <si>
    <t xml:space="preserve">Chris Bell</t>
  </si>
  <si>
    <t xml:space="preserve">Devaughn Vele</t>
  </si>
  <si>
    <t xml:space="preserve">Ted Hurst III</t>
  </si>
  <si>
    <t xml:space="preserve">Kaelon Black</t>
  </si>
  <si>
    <t xml:space="preserve">Isaiah Davis</t>
  </si>
  <si>
    <t xml:space="preserve">Elic Ayomanor</t>
  </si>
  <si>
    <t xml:space="preserve">Tua Tagovailoa</t>
  </si>
  <si>
    <t xml:space="preserve">Colby Parkinson</t>
  </si>
  <si>
    <t xml:space="preserve">Demond Claiborne</t>
  </si>
  <si>
    <t xml:space="preserve">Najee Harris</t>
  </si>
  <si>
    <t xml:space="preserve">Caleb Douglas</t>
  </si>
  <si>
    <t xml:space="preserve">Tory Horton</t>
  </si>
  <si>
    <t xml:space="preserve">LeQuint Allen Jr.</t>
  </si>
  <si>
    <t xml:space="preserve">Will Reichard</t>
  </si>
  <si>
    <t xml:space="preserve">Ty Johnson</t>
  </si>
  <si>
    <t xml:space="preserve">Knee - unknown return date (8/24)</t>
  </si>
  <si>
    <t xml:space="preserve">Elijah Sarratt</t>
  </si>
  <si>
    <t xml:space="preserve">Christian Kirk</t>
  </si>
  <si>
    <t xml:space="preserve">Samaje Perine</t>
  </si>
  <si>
    <t xml:space="preserve">Tyquan Thornton</t>
  </si>
  <si>
    <t xml:space="preserve">Jordan James</t>
  </si>
  <si>
    <t xml:space="preserve">Darius Slayton</t>
  </si>
  <si>
    <t xml:space="preserve">Chris Brooks</t>
  </si>
  <si>
    <t xml:space="preserve">Mason Taylor</t>
  </si>
  <si>
    <t xml:space="preserve">Xavier Legette</t>
  </si>
  <si>
    <t xml:space="preserve">Theo Johnson</t>
  </si>
  <si>
    <t xml:space="preserve">Michael Penix Jr.</t>
  </si>
  <si>
    <t xml:space="preserve">Marvin Mims Jr.</t>
  </si>
  <si>
    <t xml:space="preserve">Eli Stowers</t>
  </si>
  <si>
    <t xml:space="preserve">DJ Giddens</t>
  </si>
  <si>
    <t xml:space="preserve">Kirk Cousins</t>
  </si>
  <si>
    <t xml:space="preserve">Cyrus Allen</t>
  </si>
  <si>
    <t xml:space="preserve">Deshaun Watson</t>
  </si>
  <si>
    <t xml:space="preserve">Shedeur Sanders</t>
  </si>
  <si>
    <t xml:space="preserve">Atlanta Falcons</t>
  </si>
  <si>
    <t xml:space="preserve">Brashard Smith</t>
  </si>
  <si>
    <t xml:space="preserve">Devin Neal</t>
  </si>
  <si>
    <t xml:space="preserve">Malik Davis</t>
  </si>
  <si>
    <t xml:space="preserve">Seth McGowan</t>
  </si>
  <si>
    <t xml:space="preserve">Kendre Miller</t>
  </si>
  <si>
    <t xml:space="preserve">Adam Randall</t>
  </si>
  <si>
    <t xml:space="preserve">Devin Singletary</t>
  </si>
  <si>
    <t xml:space="preserve">Hollywood Brown</t>
  </si>
  <si>
    <t xml:space="preserve">Emari Demercado</t>
  </si>
  <si>
    <t xml:space="preserve">Kyle Williams</t>
  </si>
  <si>
    <t xml:space="preserve">Kaleb Johnson</t>
  </si>
  <si>
    <t xml:space="preserve">Mike Gesicki</t>
  </si>
  <si>
    <t xml:space="preserve">Isaiah Bond</t>
  </si>
  <si>
    <t xml:space="preserve">Mack Hollins</t>
  </si>
  <si>
    <t xml:space="preserve">Skyler Bell</t>
  </si>
  <si>
    <t xml:space="preserve">Brandon Aiyuk</t>
  </si>
  <si>
    <t xml:space="preserve">Isaac Guerendo</t>
  </si>
  <si>
    <t xml:space="preserve">Trevor Etienne</t>
  </si>
  <si>
    <t xml:space="preserve">Jerome Ford</t>
  </si>
  <si>
    <t xml:space="preserve">Chicago Bears</t>
  </si>
  <si>
    <t xml:space="preserve">Blake Grupe</t>
  </si>
  <si>
    <t xml:space="preserve">LIVE ENTRY + AUCTION LOG</t>
  </si>
  <si>
    <t xml:space="preserve">Use the first bright-green row. Tab: Player &gt; Winner &gt; Price &gt; Roster Slot. Ctrl+Down moves quickly through the log.</t>
  </si>
  <si>
    <t xml:space="preserve">Nom #</t>
  </si>
  <si>
    <t xml:space="preserve">Winner</t>
  </si>
  <si>
    <t xml:space="preserve">Price</t>
  </si>
  <si>
    <t xml:space="preserve">Roster Slot</t>
  </si>
  <si>
    <t xml:space="preserve">My Max</t>
  </si>
  <si>
    <t xml:space="preserve">Note</t>
  </si>
  <si>
    <t xml:space="preserve">Entry Check</t>
  </si>
  <si>
    <t xml:space="preserve">Projection</t>
  </si>
  <si>
    <t xml:space="preserve">TEAM, NEED &amp; MAX-BID TRACKER</t>
  </si>
  <si>
    <t xml:space="preserve">TONIGHT: rename Team 2-Team 14 in blue. Winner dropdown and rival panels update automatically.</t>
  </si>
  <si>
    <t xml:space="preserve">Budget</t>
  </si>
  <si>
    <t xml:space="preserve">Spent</t>
  </si>
  <si>
    <t xml:space="preserve">Remaining</t>
  </si>
  <si>
    <t xml:space="preserve">Players</t>
  </si>
  <si>
    <t xml:space="preserve">Slots Left</t>
  </si>
  <si>
    <t xml:space="preserve">Max Bid</t>
  </si>
  <si>
    <t xml:space="preserve">Biggest Need</t>
  </si>
  <si>
    <t xml:space="preserve">Threat Rank</t>
  </si>
  <si>
    <t xml:space="preserve">ME</t>
  </si>
  <si>
    <t xml:space="preserve">RD</t>
  </si>
  <si>
    <t xml:space="preserve">CATE</t>
  </si>
  <si>
    <t xml:space="preserve">SV</t>
  </si>
  <si>
    <t xml:space="preserve">NWK</t>
  </si>
  <si>
    <t xml:space="preserve">SST</t>
  </si>
  <si>
    <t xml:space="preserve">PA</t>
  </si>
  <si>
    <t xml:space="preserve">GGW</t>
  </si>
  <si>
    <t xml:space="preserve">BBT</t>
  </si>
  <si>
    <t xml:space="preserve">KNS</t>
  </si>
  <si>
    <t xml:space="preserve">KNOX</t>
  </si>
  <si>
    <t xml:space="preserve">SS</t>
  </si>
  <si>
    <t xml:space="preserve">ABS</t>
  </si>
  <si>
    <t xml:space="preserve">SKE</t>
  </si>
  <si>
    <t xml:space="preserve">MY ROSTER — PROJECTION &amp; VALUE</t>
  </si>
  <si>
    <t xml:space="preserve">Populates from roster-slot assignments in the live log. Projection uses the average of current FantasyPros and ESPN Clay forecasts when both are available.</t>
  </si>
  <si>
    <t xml:space="preserve">Budget Left</t>
  </si>
  <si>
    <t xml:space="preserve">Starting Pts</t>
  </si>
  <si>
    <t xml:space="preserve">Total Pts</t>
  </si>
  <si>
    <t xml:space="preserve">Slot</t>
  </si>
  <si>
    <t xml:space="preserve">Proj</t>
  </si>
  <si>
    <t xml:space="preserve">Hard</t>
  </si>
  <si>
    <t xml:space="preserve">Value</t>
  </si>
  <si>
    <t xml:space="preserve">Grade</t>
  </si>
  <si>
    <t xml:space="preserve">RB1</t>
  </si>
  <si>
    <t xml:space="preserve">RB2</t>
  </si>
  <si>
    <t xml:space="preserve">WR1</t>
  </si>
  <si>
    <t xml:space="preserve">WR2</t>
  </si>
  <si>
    <t xml:space="preserve">FLEX</t>
  </si>
  <si>
    <t xml:space="preserve">BE1</t>
  </si>
  <si>
    <t xml:space="preserve">BE2</t>
  </si>
  <si>
    <t xml:space="preserve">BE3</t>
  </si>
  <si>
    <t xml:space="preserve">BE4</t>
  </si>
  <si>
    <t xml:space="preserve">BE5</t>
  </si>
  <si>
    <t xml:space="preserve">BE6</t>
  </si>
  <si>
    <t xml:space="preserve">POSITION PROJECTION VS DRAFTED AVERAGE</t>
  </si>
  <si>
    <t xml:space="preserve">My Avg Proj</t>
  </si>
  <si>
    <t xml:space="preserve">Drafted Avg</t>
  </si>
  <si>
    <t xml:space="preserve">Difference</t>
  </si>
  <si>
    <t xml:space="preserve">DRAFT-DAY OPERATING PLAN</t>
  </si>
  <si>
    <t xml:space="preserve">A controlled-aggression auction plan tailored to 14 teams, full PPR, one FLEX, a $200 cap, and meaningful explosive-play / yardage bonuses.</t>
  </si>
  <si>
    <t xml:space="preserve">LEAGUE EDGES TO EXPLOIT</t>
  </si>
  <si>
    <t xml:space="preserve">1. 14-team scarcity matters: do not leave the room with a weak RB2 or TE after chasing two $55+ stars.</t>
  </si>
  <si>
    <t xml:space="preserve">2. Full PPR makes repeatable targets the base; the bonus rules then break ties toward explosive, high-yardage profiles.</t>
  </si>
  <si>
    <t xml:space="preserve">3. Only one FLEX means the room may overpay WR depth; retain the option to flex an RB when prices shift.</t>
  </si>
  <si>
    <t xml:space="preserve">4. Eight playoff teams reward floor first, but one-week playoffs reward keeping ceiling on the roster.</t>
  </si>
  <si>
    <t xml:space="preserve">5. No acquisition limit: draft upside and churn the final bench spots aggressively after Week 1 roles become real.</t>
  </si>
  <si>
    <t xml:space="preserve">$200 ROLE BLUEPRINT</t>
  </si>
  <si>
    <t xml:space="preserve">NOMINATION SEQUENCE</t>
  </si>
  <si>
    <t xml:space="preserve">Role</t>
  </si>
  <si>
    <t xml:space="preserve">Operating range</t>
  </si>
  <si>
    <t xml:space="preserve">Phase</t>
  </si>
  <si>
    <t xml:space="preserve">Anchor</t>
  </si>
  <si>
    <t xml:space="preserve">$52–$66</t>
  </si>
  <si>
    <t xml:space="preserve">Opening 1–20</t>
  </si>
  <si>
    <t xml:space="preserve">Nominate DRAIN-tagged expensive players you do not want. Learn the room before exposing targets.</t>
  </si>
  <si>
    <t xml:space="preserve">Core starter 2</t>
  </si>
  <si>
    <t xml:space="preserve">$28–$40</t>
  </si>
  <si>
    <t xml:space="preserve">Core starter 3</t>
  </si>
  <si>
    <t xml:space="preserve">$20–$30</t>
  </si>
  <si>
    <t xml:space="preserve">Middle 21–90</t>
  </si>
  <si>
    <t xml:space="preserve">Nominate from a tier where you will buy any survivor at Target Price. Do not wait for the final name.</t>
  </si>
  <si>
    <t xml:space="preserve">Starter 4</t>
  </si>
  <si>
    <t xml:space="preserve">$15–$24</t>
  </si>
  <si>
    <t xml:space="preserve">FLEX starter</t>
  </si>
  <si>
    <t xml:space="preserve">$10–$19</t>
  </si>
  <si>
    <t xml:space="preserve">Late 91+</t>
  </si>
  <si>
    <t xml:space="preserve">Nominate your $1 targets while at least two rivals can still bid; otherwise they can be stolen uncontested.</t>
  </si>
  <si>
    <t xml:space="preserve">$4–$15</t>
  </si>
  <si>
    <t xml:space="preserve">$4–$16</t>
  </si>
  <si>
    <t xml:space="preserve">Whenever stuck</t>
  </si>
  <si>
    <t xml:space="preserve">Nominate a position a cash-rich rival needs. Every dollar removed improves your endgame leverage.</t>
  </si>
  <si>
    <t xml:space="preserve">Six bench spots</t>
  </si>
  <si>
    <t xml:space="preserve">$1–$8 each</t>
  </si>
  <si>
    <t xml:space="preserve">D/ST + K</t>
  </si>
  <si>
    <t xml:space="preserve">$1 each</t>
  </si>
  <si>
    <t xml:space="preserve">BIDDING RULES — RUN THESE IN ORDER</t>
  </si>
  <si>
    <t xml:space="preserve">Step</t>
  </si>
  <si>
    <t xml:space="preserve">Decision</t>
  </si>
  <si>
    <t xml:space="preserve">Rule</t>
  </si>
  <si>
    <t xml:space="preserve">1</t>
  </si>
  <si>
    <t xml:space="preserve">Check legal max</t>
  </si>
  <si>
    <t xml:space="preserve">Draft HQ Absolute Max Bid preserves $1 for every remaining slot.</t>
  </si>
  <si>
    <t xml:space="preserve">2</t>
  </si>
  <si>
    <t xml:space="preserve">Check room price</t>
  </si>
  <si>
    <t xml:space="preserve">Inflation factor converts the static ceiling into today’s room-adjusted ceiling.</t>
  </si>
  <si>
    <t xml:space="preserve">3</t>
  </si>
  <si>
    <t xml:space="preserve">Check roster fit</t>
  </si>
  <si>
    <t xml:space="preserve">Do not buy a second QB, D/ST or K early; protect RB/WR depth.</t>
  </si>
  <si>
    <t xml:space="preserve">4</t>
  </si>
  <si>
    <t xml:space="preserve">Bid assertively</t>
  </si>
  <si>
    <t xml:space="preserve">Below Target Price, use $2 jumps to discourage price-enforcement bidders.</t>
  </si>
  <si>
    <t xml:space="preserve">5</t>
  </si>
  <si>
    <t xml:space="preserve">Stop cleanly</t>
  </si>
  <si>
    <t xml:space="preserve">At SAFE BID NOW, stop. A replacement tier is already on Player Board.</t>
  </si>
  <si>
    <t xml:space="preserve">ANCHOR MENU — BUY ONE, NOT TWO, UNLESS BOTH CLEAR TARGET</t>
  </si>
  <si>
    <t xml:space="preserve">Why this format</t>
  </si>
  <si>
    <t xml:space="preserve">Elite PPR role plus rushing-yardage and explosive-TD bonus paths.</t>
  </si>
  <si>
    <t xml:space="preserve">Safest elite target volume with multi-bonus receiving ceiling.</t>
  </si>
  <si>
    <t xml:space="preserve">Three-down PPR workload; less touchdown-dependent than most RBs.</t>
  </si>
  <si>
    <t xml:space="preserve">Volume and projected yardage align perfectly with 100-yard bonuses.</t>
  </si>
  <si>
    <t xml:space="preserve">High reception floor with repeatable 100-yard game access.</t>
  </si>
  <si>
    <t xml:space="preserve">Consensus rank is stronger than current auction projection price.</t>
  </si>
  <si>
    <t xml:space="preserve">Consensus discount creates an elite talent buying window.</t>
  </si>
  <si>
    <t xml:space="preserve">Workhorse rushing profile gains the most from 100/200-yard bonuses.</t>
  </si>
  <si>
    <t xml:space="preserve">VALUE TARGETS — PRICE, NOT PLAYER, IS THE EDGE</t>
  </si>
  <si>
    <t xml:space="preserve">Case</t>
  </si>
  <si>
    <t xml:space="preserve">Pocket volume and rushing support; bonuses preserve upside without elite-QB price.</t>
  </si>
  <si>
    <t xml:space="preserve">Strong 14-team starter price; 300-yard and long-TD bonus paths.</t>
  </si>
  <si>
    <t xml:space="preserve">Projected volume is much stronger than the headline price.</t>
  </si>
  <si>
    <t xml:space="preserve">Full-PPR touches and a price outside the room’s glamorous tier.</t>
  </si>
  <si>
    <t xml:space="preserve">Goal-line and 100-yard bonus access at a bench-friendly price.</t>
  </si>
  <si>
    <t xml:space="preserve">Cheap volume bet for a 14-team room.</t>
  </si>
  <si>
    <t xml:space="preserve">Consensus and yardage ceiling both support buying above generic price.</t>
  </si>
  <si>
    <t xml:space="preserve">PPR floor plus consensus edge versus projected auction cost.</t>
  </si>
  <si>
    <t xml:space="preserve">Consensus discount and explosive bonus fit.</t>
  </si>
  <si>
    <t xml:space="preserve">Affordable target share; monitor the minor injury note.</t>
  </si>
  <si>
    <t xml:space="preserve">Late PPR volume at a price that preserves flexibility.</t>
  </si>
  <si>
    <t xml:space="preserve">Reception volume is unusually valuable in full PPR.</t>
  </si>
  <si>
    <t xml:space="preserve">Late-round direct leverage on both 40- and 50-yard TD bonuses.</t>
  </si>
  <si>
    <t xml:space="preserve">Projected volume without paying the McBride/Bowers tax.</t>
  </si>
  <si>
    <t xml:space="preserve">Target-driven TE fallback in a 14-team scarcity environment.</t>
  </si>
  <si>
    <t xml:space="preserve">DRAFT-DAY INJURY BOARD — RECHECK 60 MINUTES BEFORE START</t>
  </si>
  <si>
    <t xml:space="preserve">Current note</t>
  </si>
  <si>
    <t xml:space="preserve">ENDGAME TARGETS — LIVE STATUS</t>
  </si>
  <si>
    <t xml:space="preserve">Reliable late QB ceiling</t>
  </si>
  <si>
    <t xml:space="preserve">Full-PPR volume</t>
  </si>
  <si>
    <t xml:space="preserve">Cheap target share</t>
  </si>
  <si>
    <t xml:space="preserve">TE upside at a discount</t>
  </si>
  <si>
    <t xml:space="preserve">RB touchdown and yardage access</t>
  </si>
  <si>
    <t xml:space="preserve">MACRO-FREE RECOVERY CONTROLS</t>
  </si>
  <si>
    <t xml:space="preserve">Clear Player, Winner, Price, Roster Slot and Note in the Auction Log row marked LAST.</t>
  </si>
  <si>
    <t xml:space="preserve">Clear draft data</t>
  </si>
  <si>
    <t xml:space="preserve">Select Auction Log input ranges B5:B304, D5:F304 and I5:I304; press Delete. Formulas remain intact.</t>
  </si>
  <si>
    <t xml:space="preserve">Refresh formulas</t>
  </si>
  <si>
    <t xml:space="preserve">Press Ctrl+Alt+F9 if Excel calculation is set to Manual.</t>
  </si>
  <si>
    <t xml:space="preserve">SOURCES &amp; MODEL NOTES</t>
  </si>
  <si>
    <t xml:space="preserve">Values are a decision aid, not a prediction of exact room prices. All web data checked August 25, 2026 ET.</t>
  </si>
  <si>
    <t xml:space="preserve">Source</t>
  </si>
  <si>
    <t xml:space="preserve">Used for</t>
  </si>
  <si>
    <t xml:space="preserve">As of</t>
  </si>
  <si>
    <t xml:space="preserve">URL</t>
  </si>
  <si>
    <t xml:space="preserve">League screenshots</t>
  </si>
  <si>
    <t xml:space="preserve">Exact roster, cap, PPR and custom scoring settings</t>
  </si>
  <si>
    <t xml:space="preserve">2026-08-25</t>
  </si>
  <si>
    <t xml:space="preserve">Attached league-info screenshots</t>
  </si>
  <si>
    <t xml:space="preserve">FantasyPros PPR ECR</t>
  </si>
  <si>
    <t xml:space="preserve">Current consensus rank, tiers and rank disagreement</t>
  </si>
  <si>
    <t xml:space="preserve">https://www.fantasypros.com/nfl/rankings/ppr-cheatsheets.php</t>
  </si>
  <si>
    <t xml:space="preserve">FantasyPros Auction Calculator</t>
  </si>
  <si>
    <t xml:space="preserve">14-team / $200 / PPR market baseline</t>
  </si>
  <si>
    <t xml:space="preserve">https://www.fantasypros.com/nfl/auction-values/calculator.php</t>
  </si>
  <si>
    <t xml:space="preserve">ESPN Mike Clay Projection Guide</t>
  </si>
  <si>
    <t xml:space="preserve">Player-level PPR projections and underlying volume</t>
  </si>
  <si>
    <t xml:space="preserve">2026-08-19</t>
  </si>
  <si>
    <t xml:space="preserve">https://g.espncdn.com/s/ffldraftkit/26/NFLDK2026_CS_ClayProjections2026.pdf</t>
  </si>
  <si>
    <t xml:space="preserve">ESPN PPR Top 300</t>
  </si>
  <si>
    <t xml:space="preserve">Independent ESPN rank and 10-team value comparison</t>
  </si>
  <si>
    <t xml:space="preserve">https://g.espncdn.com/s/ffldraftkit/26/NFL26_CS_PPR300.pdf?adddata=2026CS_PPR300</t>
  </si>
  <si>
    <t xml:space="preserve">ESPN NFL Injuries</t>
  </si>
  <si>
    <t xml:space="preserve">Current injury cross-check</t>
  </si>
  <si>
    <t xml:space="preserve">https://www.espn.com/nfl/injuries</t>
  </si>
  <si>
    <t xml:space="preserve">ESPN Fantasy Buzz</t>
  </si>
  <si>
    <t xml:space="preserve">Fantasy-relevant injury and role context</t>
  </si>
  <si>
    <t xml:space="preserve">https://www.espn.com/fantasy/football/story/_/id/40699880/fantasy-football-injuries-position-battles-nfl-news-analysis</t>
  </si>
  <si>
    <t xml:space="preserve">Field Yates PPR Top 160</t>
  </si>
  <si>
    <t xml:space="preserve">Current ESPN rank sanity check</t>
  </si>
  <si>
    <t xml:space="preserve">2026-08-24</t>
  </si>
  <si>
    <t xml:space="preserve">https://www.espn.com/fantasy/football/story/_/id/48711830/2026-fantasy-football-rankings-ppr-field-yates</t>
  </si>
  <si>
    <t xml:space="preserve">Model calibration</t>
  </si>
  <si>
    <t xml:space="preserve">210-player draft pool sums to the league-wide $2,800 budget</t>
  </si>
  <si>
    <t xml:space="preserve">Raw pool $2670; scale 1.0528; bonus medians QB 10.7, RB 2.1, WR 3.6, TE 0.7</t>
  </si>
  <si>
    <t xml:space="preserve">Workbook v2 intelligence</t>
  </si>
  <si>
    <t xml:space="preserve">Dynamic exposure, tier scarcity, rival threat, phase logic, projections and draft grading</t>
  </si>
  <si>
    <t xml:space="preserve">Formula-driven from Player Board, Auction Log, Team Tracker and My Roster</t>
  </si>
  <si>
    <t xml:space="preserve">POST-DRAFT GRADE &amp; HAUL SUMMARY</t>
  </si>
  <si>
    <t xml:space="preserve">Grades update automatically. Before all 15 slots are filled, the overall result remains INCOMPLETE. Room averages use the market baseline until sales are logged.</t>
  </si>
  <si>
    <t xml:space="preserve">GRADE SUMMARY</t>
  </si>
  <si>
    <t xml:space="preserve">POSITION SPEND VS ROOM AVERAGE</t>
  </si>
  <si>
    <t xml:space="preserve">Draft status</t>
  </si>
  <si>
    <t xml:space="preserve">My Spend</t>
  </si>
  <si>
    <t xml:space="preserve">Room Avg / Baseline</t>
  </si>
  <si>
    <t xml:space="preserve">Total spent</t>
  </si>
  <si>
    <t xml:space="preserve">Value bought</t>
  </si>
  <si>
    <t xml:space="preserve">Value captured</t>
  </si>
  <si>
    <t xml:space="preserve">Roster projection</t>
  </si>
  <si>
    <t xml:space="preserve">League avg projection</t>
  </si>
  <si>
    <t xml:space="preserve">Completion</t>
  </si>
  <si>
    <t xml:space="preserve">SCORECARD</t>
  </si>
  <si>
    <t xml:space="preserve">Metric</t>
  </si>
  <si>
    <t xml:space="preserve">Score</t>
  </si>
  <si>
    <t xml:space="preserve">Rating</t>
  </si>
  <si>
    <t xml:space="preserve">Value efficiency</t>
  </si>
  <si>
    <t xml:space="preserve">Projection strength</t>
  </si>
  <si>
    <t xml:space="preserve">Positional balance</t>
  </si>
  <si>
    <t xml:space="preserve">Star power</t>
  </si>
  <si>
    <t xml:space="preserve">Depth</t>
  </si>
  <si>
    <t xml:space="preserve">OVERALL</t>
  </si>
  <si>
    <t xml:space="preserve">MY HAUL</t>
  </si>
  <si>
    <t>Foot - too early to tell on Week 1 availability (coach 8/26 via ESPN).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</si>
</sst>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0"/>
    <numFmt numFmtId="166" formatCode="0"/>
    <numFmt numFmtId="167" formatCode="0.00\x"/>
    <numFmt numFmtId="168" formatCode="0&quot; / 210&quot;"/>
    <numFmt numFmtId="169" formatCode="[h]&quot;h &quot;mm\m"/>
    <numFmt numFmtId="170" formatCode="0%"/>
  </numFmts>
  <fonts count="1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9FF4A"/>
      <name val="Calibri"/>
      <family val="0"/>
      <charset val="1"/>
    </font>
    <font>
      <i val="true"/>
      <sz val="11"/>
      <color rgb="FFA9ACA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A9ACA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FFC857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C857"/>
      <name val="Calibri"/>
      <family val="0"/>
      <charset val="1"/>
    </font>
    <font>
      <sz val="10"/>
      <name val="Arial"/>
      <family val="2"/>
    </font>
    <font>
      <b val="true"/>
      <sz val="11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C0D0E"/>
        <bgColor rgb="FF161819"/>
      </patternFill>
    </fill>
    <fill>
      <patternFill patternType="solid">
        <fgColor rgb="FF161819"/>
        <bgColor rgb="FF202224"/>
      </patternFill>
    </fill>
    <fill>
      <patternFill patternType="solid">
        <fgColor rgb="FF2A2D2F"/>
        <bgColor rgb="FF303236"/>
      </patternFill>
    </fill>
    <fill>
      <patternFill patternType="solid">
        <fgColor rgb="FF17371F"/>
        <bgColor rgb="FF153D24"/>
      </patternFill>
    </fill>
    <fill>
      <patternFill patternType="solid">
        <fgColor rgb="FF126B2B"/>
        <bgColor rgb="FF1E5A2B"/>
      </patternFill>
    </fill>
    <fill>
      <patternFill patternType="solid">
        <fgColor rgb="FF00B050"/>
        <bgColor rgb="FF00E676"/>
      </patternFill>
    </fill>
    <fill>
      <patternFill patternType="solid">
        <fgColor rgb="FF202224"/>
        <bgColor rgb="FF161819"/>
      </patternFill>
    </fill>
    <fill>
      <patternFill patternType="solid">
        <fgColor rgb="FF3D3515"/>
        <bgColor rgb="FF4A32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double">
        <color rgb="FF39FF4A"/>
      </bottom>
      <diagonal/>
    </border>
    <border diagonalUp="false" diagonalDown="false">
      <left/>
      <right/>
      <top/>
      <bottom style="thin">
        <color rgb="FF3B3E40"/>
      </bottom>
      <diagonal/>
    </border>
    <border diagonalUp="false" diagonalDown="false">
      <left style="medium">
        <color rgb="FF39FF4A"/>
      </left>
      <right style="medium">
        <color rgb="FF39FF4A"/>
      </right>
      <top style="medium">
        <color rgb="FF39FF4A"/>
      </top>
      <bottom style="medium">
        <color rgb="FF39FF4A"/>
      </bottom>
      <diagonal/>
    </border>
    <border diagonalUp="false" diagonalDown="false">
      <left style="thin">
        <color rgb="FF3B3E40"/>
      </left>
      <right style="thin">
        <color rgb="FF3B3E40"/>
      </right>
      <top style="thin">
        <color rgb="FF3B3E40"/>
      </top>
      <bottom style="thin">
        <color rgb="FF3B3E40"/>
      </bottom>
      <diagonal/>
    </border>
    <border diagonalUp="false" diagonalDown="false">
      <left/>
      <right/>
      <top style="thin">
        <color rgb="FF3B3E40"/>
      </top>
      <bottom style="thin">
        <color rgb="FF3B3E40"/>
      </bottom>
      <diagonal/>
    </border>
    <border diagonalUp="false" diagonalDown="false">
      <left style="thin">
        <color rgb="FFFFC857"/>
      </left>
      <right style="thin">
        <color rgb="FFFFC857"/>
      </right>
      <top style="thin">
        <color rgb="FFFFC857"/>
      </top>
      <bottom style="thin">
        <color rgb="FFFFC857"/>
      </bottom>
      <diagonal/>
    </border>
    <border diagonalUp="false" diagonalDown="false">
      <left/>
      <right/>
      <top style="thin">
        <color rgb="FF3B3E40"/>
      </top>
      <bottom/>
      <diagonal/>
    </border>
    <border diagonalUp="false" diagonalDown="false">
      <left style="medium">
        <color rgb="FF39FF4A"/>
      </left>
      <right style="medium">
        <color rgb="FF39FF4A"/>
      </right>
      <top style="medium">
        <color rgb="FF39FF4A"/>
      </top>
      <bottom style="thin">
        <color rgb="FF3B3E40"/>
      </bottom>
      <diagonal/>
    </border>
    <border diagonalUp="false" diagonalDown="false">
      <left style="medium">
        <color rgb="FF39FF4A"/>
      </left>
      <right style="medium">
        <color rgb="FF39FF4A"/>
      </right>
      <top style="thin">
        <color rgb="FF3B3E40"/>
      </top>
      <bottom style="thin">
        <color rgb="FF3B3E40"/>
      </bottom>
      <diagonal/>
    </border>
    <border diagonalUp="false" diagonalDown="false">
      <left style="medium">
        <color rgb="FF39FF4A"/>
      </left>
      <right style="medium">
        <color rgb="FF39FF4A"/>
      </right>
      <top style="thin">
        <color rgb="FF3B3E40"/>
      </top>
      <bottom style="medium">
        <color rgb="FF39FF4A"/>
      </bottom>
      <diagonal/>
    </border>
    <border diagonalUp="false" diagonalDown="false">
      <left/>
      <right/>
      <top style="medium">
        <color rgb="FF39FF4A"/>
      </top>
      <bottom style="thin">
        <color rgb="FF3B3E40"/>
      </bottom>
      <diagonal/>
    </border>
    <border diagonalUp="false" diagonalDown="false">
      <left/>
      <right style="medium">
        <color rgb="FF39FF4A"/>
      </right>
      <top style="medium">
        <color rgb="FF39FF4A"/>
      </top>
      <bottom style="thin">
        <color rgb="FF3B3E40"/>
      </bottom>
      <diagonal/>
    </border>
    <border diagonalUp="false" diagonalDown="false">
      <left/>
      <right style="medium">
        <color rgb="FF39FF4A"/>
      </right>
      <top style="thin">
        <color rgb="FF3B3E40"/>
      </top>
      <bottom style="thin">
        <color rgb="FF3B3E40"/>
      </bottom>
      <diagonal/>
    </border>
    <border diagonalUp="false" diagonalDown="false">
      <left/>
      <right/>
      <top style="thin">
        <color rgb="FF3B3E40"/>
      </top>
      <bottom style="medium">
        <color rgb="FF39FF4A"/>
      </bottom>
      <diagonal/>
    </border>
    <border diagonalUp="false" diagonalDown="false">
      <left/>
      <right style="medium">
        <color rgb="FF39FF4A"/>
      </right>
      <top style="thin">
        <color rgb="FF3B3E40"/>
      </top>
      <bottom style="medium">
        <color rgb="FF39FF4A"/>
      </bottom>
      <diagonal/>
    </border>
    <border diagonalUp="false" diagonalDown="false">
      <left style="thin">
        <color rgb="FF39FF4A"/>
      </left>
      <right style="thin">
        <color rgb="FF39FF4A"/>
      </right>
      <top style="thin">
        <color rgb="FF39FF4A"/>
      </top>
      <bottom style="thin">
        <color rgb="FF39FF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5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5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5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4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4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6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9"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05210C"/>
      </font>
      <fill>
        <patternFill>
          <bgColor rgb="FF00E676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39FF4A"/>
      </font>
      <fill>
        <patternFill>
          <bgColor rgb="FF153D24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6B2712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6B2712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39FF4A"/>
      </font>
      <fill>
        <patternFill>
          <bgColor rgb="FF153D24"/>
        </patternFill>
      </fill>
    </dxf>
    <dxf>
      <fill>
        <patternFill>
          <bgColor rgb="FFF4CCCC"/>
        </patternFill>
      </fill>
    </dxf>
    <dxf>
      <font>
        <color rgb="FF1A1A1A"/>
      </font>
      <fill>
        <patternFill>
          <bgColor rgb="FFFFF2CC"/>
        </patternFill>
      </fill>
    </dxf>
    <dxf>
      <fill>
        <patternFill patternType="solid">
          <fgColor rgb="FF126B2B"/>
          <bgColor rgb="FF000000"/>
        </patternFill>
      </fill>
    </dxf>
    <dxf>
      <fill>
        <patternFill patternType="solid">
          <fgColor rgb="FF161819"/>
          <bgColor rgb="FF000000"/>
        </patternFill>
      </fill>
    </dxf>
    <dxf>
      <fill>
        <patternFill patternType="solid">
          <fgColor rgb="FF202224"/>
          <bgColor rgb="FF000000"/>
        </patternFill>
      </fill>
    </dxf>
    <dxf>
      <font>
        <color rgb="FF1A1A1A"/>
      </font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F7C1"/>
          <bgColor rgb="FF000000"/>
        </patternFill>
      </fill>
    </dxf>
    <dxf>
      <fill>
        <patternFill patternType="solid">
          <fgColor rgb="FFF6B1B1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0A3214"/>
          <bgColor rgb="FF000000"/>
        </patternFill>
      </fill>
    </dxf>
    <dxf>
      <fill>
        <patternFill patternType="solid">
          <fgColor rgb="FF4A3800"/>
          <bgColor rgb="FF000000"/>
        </patternFill>
      </fill>
    </dxf>
    <dxf>
      <fill>
        <patternFill patternType="solid">
          <fgColor rgb="FF5A1010"/>
          <bgColor rgb="FF000000"/>
        </patternFill>
      </fill>
    </dxf>
    <dxf>
      <fill>
        <patternFill patternType="solid">
          <fgColor rgb="FF153D24"/>
          <bgColor rgb="FF000000"/>
        </patternFill>
      </fill>
    </dxf>
    <dxf>
      <fill>
        <patternFill patternType="solid">
          <fgColor rgb="FF3D3515"/>
          <bgColor rgb="FF000000"/>
        </patternFill>
      </fill>
    </dxf>
    <dxf>
      <fill>
        <patternFill patternType="solid">
          <fgColor rgb="FF421C1C"/>
          <bgColor rgb="FF000000"/>
        </patternFill>
      </fill>
    </dxf>
    <dxf>
      <fill>
        <patternFill patternType="solid">
          <fgColor rgb="FF39FF4A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C857"/>
          <bgColor rgb="FF000000"/>
        </patternFill>
      </fill>
    </dxf>
    <dxf>
      <fill>
        <patternFill patternType="solid">
          <fgColor rgb="FF303236"/>
          <bgColor rgb="FF000000"/>
        </patternFill>
      </fill>
    </dxf>
    <dxf>
      <fill>
        <patternFill patternType="solid">
          <fgColor rgb="FFA9ACA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202224"/>
        </patternFill>
      </fill>
    </dxf>
    <dxf>
      <font>
        <color rgb="FF1A1A1A"/>
      </font>
      <fill>
        <patternFill>
          <bgColor rgb="FFC6EFCE"/>
        </patternFill>
      </fill>
    </dxf>
    <dxf>
      <fill>
        <patternFill>
          <bgColor rgb="FFD9D9D9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i val="1"/>
        <color rgb="FFA9ACAF"/>
      </font>
      <fill>
        <patternFill>
          <bgColor rgb="FF303236"/>
        </patternFill>
      </fill>
    </dxf>
    <dxf>
      <font>
        <b val="1"/>
        <color rgb="FF05210C"/>
      </font>
      <fill>
        <patternFill>
          <bgColor rgb="FF00E676"/>
        </patternFill>
      </fill>
    </dxf>
    <dxf>
      <font>
        <b val="1"/>
        <color rgb="FF0A3214"/>
      </font>
      <fill>
        <patternFill>
          <bgColor rgb="FFB7F7C1"/>
        </patternFill>
      </fill>
    </dxf>
    <dxf>
      <font>
        <b val="1"/>
        <color rgb="FF4A3800"/>
      </font>
      <fill>
        <patternFill>
          <bgColor rgb="FFFFE082"/>
        </patternFill>
      </fill>
    </dxf>
    <dxf>
      <font>
        <b val="1"/>
        <color rgb="FF5A1010"/>
      </font>
      <fill>
        <patternFill>
          <bgColor rgb="FFF6B1B1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05210C"/>
      </font>
      <fill>
        <patternFill>
          <bgColor rgb="FF00E676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C857"/>
      </font>
      <fill>
        <patternFill>
          <bgColor rgb="FF3D3515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i val="1"/>
        <color rgb="FFA9ACAF"/>
      </font>
      <fill>
        <patternFill>
          <bgColor rgb="FF303236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ill>
        <patternFill>
          <bgColor rgb="FFFCE4D6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17371F"/>
          <bgColor rgb="FF000000"/>
        </patternFill>
      </fill>
    </dxf>
    <dxf>
      <fill>
        <patternFill patternType="solid">
          <fgColor rgb="FF1E5A2B"/>
          <bgColor rgb="FF000000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4A3200"/>
      </font>
      <fill>
        <patternFill>
          <bgColor rgb="FFFFC857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39FF4A"/>
      </font>
      <fill>
        <patternFill>
          <bgColor rgb="FF1E5A2B"/>
        </patternFill>
      </fill>
    </dxf>
    <dxf>
      <fill>
        <patternFill>
          <bgColor rgb="FF92D050"/>
        </patternFill>
      </fill>
      <border diagonalUp="false" diagonalDown="false">
        <left style="thick">
          <color rgb="FF006100"/>
        </left>
        <right style="thick">
          <color rgb="FF006100"/>
        </right>
        <top style="thick">
          <color rgb="FF006100"/>
        </top>
        <bottom style="thick">
          <color rgb="FF006100"/>
        </bottom>
        <diagonal/>
      </border>
    </dxf>
    <dxf>
      <font>
        <color rgb="FF1A1A1A"/>
      </font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color rgb="FF1A1A1A"/>
      </font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A1111"/>
          <bgColor rgb="FF000000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color rgb="FF1A1A1A"/>
      </font>
      <fill>
        <patternFill>
          <bgColor rgb="FFFFF2CC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05210C"/>
      </font>
      <fill>
        <patternFill>
          <bgColor rgb="FF00E676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  <dxf>
      <font>
        <b val="1"/>
        <color rgb="FFFFFFFF"/>
      </font>
      <fill>
        <patternFill>
          <bgColor rgb="FF7A1111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39FF4A"/>
      </font>
      <fill>
        <patternFill>
          <bgColor rgb="FF153D24"/>
        </patternFill>
      </fill>
    </dxf>
    <dxf>
      <font>
        <b val="1"/>
        <color rgb="FFFF6B6B"/>
      </font>
      <fill>
        <patternFill>
          <bgColor rgb="FF421C1C"/>
        </patternFill>
      </fill>
    </dxf>
  </dxfs>
  <colors>
    <indexedColors>
      <rgbColor rgb="FF000000"/>
      <rgbColor rgb="FFFFFFFF"/>
      <rgbColor rgb="FFFF0000"/>
      <rgbColor rgb="FF39FF4A"/>
      <rgbColor rgb="FF0000FF"/>
      <rgbColor rgb="FFFFFF00"/>
      <rgbColor rgb="FFFF00FF"/>
      <rgbColor rgb="FF00FFFF"/>
      <rgbColor rgb="FF7A1111"/>
      <rgbColor rgb="FF126B2B"/>
      <rgbColor rgb="FF0C0D0E"/>
      <rgbColor rgb="FF808000"/>
      <rgbColor rgb="FF2A2D2F"/>
      <rgbColor rgb="FF1E5A2B"/>
      <rgbColor rgb="FFCCCCCC"/>
      <rgbColor rgb="FF8B8B8B"/>
      <rgbColor rgb="FF9999FF"/>
      <rgbColor rgb="FF4A3200"/>
      <rgbColor rgb="FFFFF2CC"/>
      <rgbColor rgb="FFE2F0D9"/>
      <rgbColor rgb="FF421C1C"/>
      <rgbColor rgb="FFFF6B6B"/>
      <rgbColor rgb="FF17371F"/>
      <rgbColor rgb="FFD9D9D9"/>
      <rgbColor rgb="FF161819"/>
      <rgbColor rgb="FFFF00FF"/>
      <rgbColor rgb="FFFFFF00"/>
      <rgbColor rgb="FF00FFFF"/>
      <rgbColor rgb="FF202224"/>
      <rgbColor rgb="FF5A1010"/>
      <rgbColor rgb="FF006100"/>
      <rgbColor rgb="FF05210C"/>
      <rgbColor rgb="FF00CCFF"/>
      <rgbColor rgb="FFB7F7C1"/>
      <rgbColor rgb="FFC6EFCE"/>
      <rgbColor rgb="FFFCE4D6"/>
      <rgbColor rgb="FF99CCFF"/>
      <rgbColor rgb="FFF6B1B1"/>
      <rgbColor rgb="FFF4CCCC"/>
      <rgbColor rgb="FFFFE082"/>
      <rgbColor rgb="FF3366FF"/>
      <rgbColor rgb="FF00E676"/>
      <rgbColor rgb="FF92D050"/>
      <rgbColor rgb="FFFFC857"/>
      <rgbColor rgb="FFFF9900"/>
      <rgbColor rgb="FFFF6600"/>
      <rgbColor rgb="FF666699"/>
      <rgbColor rgb="FFA9ACAF"/>
      <rgbColor rgb="FF153D24"/>
      <rgbColor rgb="FF00B050"/>
      <rgbColor rgb="FF0A3214"/>
      <rgbColor rgb="FF3D3515"/>
      <rgbColor rgb="FF6B2712"/>
      <rgbColor rgb="FF4A3800"/>
      <rgbColor rgb="FF3B3E40"/>
      <rgbColor rgb="FF303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Positional Spend vs Room Average / Baseline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"My Spend"</c:f>
              <c:strCache>
                <c:ptCount val="1"/>
                <c:pt idx="0">
                  <c:v>My Spend</c:v>
                </c:pt>
              </c:strCache>
            </c:strRef>
          </c:tx>
          <c:spPr>
            <a:solidFill>
              <a:srgbClr val="39FF4A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'Draft Grade'!$E$6:$E$11</c:f>
              <c:strCache>
                <c:ptCount val="6"/>
                <c:pt idx="0">
                  <c:v>QB</c:v>
                </c:pt>
                <c:pt idx="1">
                  <c:v>RB</c:v>
                </c:pt>
                <c:pt idx="2">
                  <c:v>WR</c:v>
                </c:pt>
                <c:pt idx="3">
                  <c:v>TE</c:v>
                </c:pt>
                <c:pt idx="4">
                  <c:v>D/ST</c:v>
                </c:pt>
                <c:pt idx="5">
                  <c:v>K</c:v>
                </c:pt>
              </c:strCache>
            </c:strRef>
          </c:cat>
          <c:val>
            <c:numRef>
              <c:f>'Draft Grade'!$F$6:$F$11</c:f>
              <c:numCache>
                <c:formatCode>\$0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"Room Avg / Baseline"</c:f>
              <c:strCache>
                <c:ptCount val="1"/>
                <c:pt idx="0">
                  <c:v>Room Avg / Baseline</c:v>
                </c:pt>
              </c:strCache>
            </c:strRef>
          </c:tx>
          <c:spPr>
            <a:solidFill>
              <a:srgbClr val="A9ACA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'Draft Grade'!$E$6:$E$11</c:f>
              <c:strCache>
                <c:ptCount val="6"/>
                <c:pt idx="0">
                  <c:v>QB</c:v>
                </c:pt>
                <c:pt idx="1">
                  <c:v>RB</c:v>
                </c:pt>
                <c:pt idx="2">
                  <c:v>WR</c:v>
                </c:pt>
                <c:pt idx="3">
                  <c:v>TE</c:v>
                </c:pt>
                <c:pt idx="4">
                  <c:v>D/ST</c:v>
                </c:pt>
                <c:pt idx="5">
                  <c:v>K</c:v>
                </c:pt>
              </c:strCache>
            </c:strRef>
          </c:cat>
          <c:val>
            <c:numRef>
              <c:f>'Draft Grade'!$G$6:$G$11</c:f>
              <c:numCache>
                <c:formatCode>\$0</c:formatCode>
                <c:ptCount val="6"/>
                <c:pt idx="0">
                  <c:v>9</c:v>
                </c:pt>
                <c:pt idx="1">
                  <c:v>90</c:v>
                </c:pt>
                <c:pt idx="2">
                  <c:v>88</c:v>
                </c:pt>
                <c:pt idx="3">
                  <c:v>11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96374193"/>
        <c:axId val="58996919"/>
      </c:barChart>
      <c:catAx>
        <c:axId val="9637419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8996919"/>
        <c:crosses val="autoZero"/>
        <c:auto val="1"/>
        <c:lblAlgn val="ctr"/>
        <c:lblOffset val="100"/>
        <c:noMultiLvlLbl val="0"/>
      </c:catAx>
      <c:valAx>
        <c:axId val="5899691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63741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16</xdr:col>
      <xdr:colOff>797400</xdr:colOff>
      <xdr:row>18</xdr:row>
      <xdr:rowOff>180000</xdr:rowOff>
    </xdr:to>
    <xdr:graphicFrame>
      <xdr:nvGraphicFramePr>
        <xdr:cNvPr id="1" name="Chart 1"/>
        <xdr:cNvGraphicFramePr/>
      </xdr:nvGraphicFramePr>
      <xdr:xfrm>
        <a:off x="9586080" y="923760"/>
        <a:ext cx="6717960" cy="336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uctionLogV2" displayName="AuctionLogV2" ref="A4:K304" headerRowCount="1" totalsRowCount="0" totalsRowShown="0">
  <autoFilter ref="A4:K304"/>
  <tableColumns count="11">
    <tableColumn id="1" name="Nom #"/>
    <tableColumn id="2" name="Player"/>
    <tableColumn id="3" name="Pos"/>
    <tableColumn id="4" name="Winner"/>
    <tableColumn id="5" name="Price"/>
    <tableColumn id="6" name="Roster Slot"/>
    <tableColumn id="7" name="My Max"/>
    <tableColumn id="8" name="Sale Value"/>
    <tableColumn id="9" name="Note"/>
    <tableColumn id="10" name="Entry Check"/>
    <tableColumn id="11" name="Projection"/>
  </tableColumns>
</table>
</file>

<file path=xl/tables/table2.xml><?xml version="1.0" encoding="utf-8"?>
<table xmlns="http://schemas.openxmlformats.org/spreadsheetml/2006/main" id="2" name="PlayerBoardV2" displayName="PlayerBoardV2" ref="A4:W304" headerRowCount="1" totalsRowCount="0" totalsRowShown="0">
  <autoFilter ref="A4:W304"/>
  <tableColumns count="23">
    <tableColumn id="1" name="Player"/>
    <tableColumn id="2" name="V vs Mkt"/>
    <tableColumn id="3" name="Signal"/>
    <tableColumn id="4" name="Owner"/>
    <tableColumn id="5" name="Sold"/>
    <tableColumn id="6" name="Team"/>
    <tableColumn id="7" name="Pos"/>
    <tableColumn id="8" name="Bye"/>
    <tableColumn id="9" name="ECR"/>
    <tableColumn id="10" name="Tier"/>
    <tableColumn id="11" name="FP Proj"/>
    <tableColumn id="12" name="Clay PPR"/>
    <tableColumn id="13" name="ESPN 10T $"/>
    <tableColumn id="14" name="14T Market"/>
    <tableColumn id="15" name="Consensus $"/>
    <tableColumn id="16" name="Bonus $"/>
    <tableColumn id="17" name="Injury $"/>
    <tableColumn id="18" name="Hard Ceiling"/>
    <tableColumn id="19" name="Target"/>
    <tableColumn id="20" name="Nominate"/>
    <tableColumn id="21" name="Injury / News"/>
    <tableColumn id="22" name="Sale Value"/>
    <tableColumn id="23" name="Pool"/>
  </tableColumns>
</table>
</file>

<file path=xl/tables/table3.xml><?xml version="1.0" encoding="utf-8"?>
<table xmlns="http://schemas.openxmlformats.org/spreadsheetml/2006/main" id="3" name="TeamTrackerV2" displayName="TeamTrackerV2" ref="A4:O18" headerRowCount="1" totalsRowCount="0" totalsRowShown="0">
  <tableColumns count="15">
    <tableColumn id="1" name="Team"/>
    <tableColumn id="2" name="Budget"/>
    <tableColumn id="3" name="Spent"/>
    <tableColumn id="4" name="Remaining"/>
    <tableColumn id="5" name="Players"/>
    <tableColumn id="6" name="Slots Left"/>
    <tableColumn id="7" name="Max Bid"/>
    <tableColumn id="8" name="QB"/>
    <tableColumn id="9" name="RB"/>
    <tableColumn id="10" name="WR"/>
    <tableColumn id="11" name="TE"/>
    <tableColumn id="12" name="D/ST"/>
    <tableColumn id="13" name="K"/>
    <tableColumn id="14" name="Biggest Need"/>
    <tableColumn id="15" name="Threat Rank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9" colorId="64" zoomScale="80" zoomScaleNormal="80" zoomScalePageLayoutView="100" workbookViewId="0">
      <pane xSplit="0" ySplit="3" topLeftCell="A4" activePane="bottomLeft" state="frozen"/>
      <selection pane="topLeft" activeCell="A9" activeCellId="0" sqref="A9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5.0"/>
    <col collapsed="false" customWidth="true" hidden="false" outlineLevel="0" max="2" min="2" style="1" width="10.0"/>
    <col collapsed="false" customWidth="true" hidden="false" outlineLevel="0" max="3" min="3" style="1" width="5.0"/>
    <col collapsed="false" customWidth="true" hidden="false" outlineLevel="0" max="4" min="4" style="1" width="12.0"/>
    <col collapsed="false" customWidth="true" hidden="false" outlineLevel="0" max="5" min="5" style="1" width="13.0"/>
    <col collapsed="false" customWidth="true" hidden="false" outlineLevel="0" max="6" min="6" style="1" width="9.0"/>
    <col collapsed="false" customWidth="true" hidden="false" outlineLevel="0" max="7" min="7" style="1" width="14.0"/>
    <col collapsed="false" customWidth="true" hidden="false" outlineLevel="0" max="8" min="8" style="1" width="10.0"/>
    <col collapsed="false" customWidth="true" hidden="false" outlineLevel="0" max="9" min="9" style="1" width="7.0"/>
    <col collapsed="false" customWidth="true" hidden="false" outlineLevel="0" max="10" min="10" style="1" width="9.0"/>
    <col collapsed="false" customWidth="true" hidden="false" outlineLevel="0" max="11" min="11" style="1" width="9.0"/>
    <col collapsed="false" customWidth="true" hidden="false" outlineLevel="0" max="12" min="12" style="1" width="11.0"/>
    <col collapsed="false" customWidth="true" hidden="false" outlineLevel="0" max="13" min="13" style="1" width="13.0"/>
    <col collapsed="false" customWidth="true" hidden="false" outlineLevel="0" max="14" min="14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true" outlineLevel="0" collapsed="false">
      <c r="A4" s="5" t="s">
        <v>2</v>
      </c>
      <c r="B4" s="5"/>
      <c r="C4" s="5"/>
      <c r="D4" s="5" t="s">
        <v>3</v>
      </c>
      <c r="E4" s="5"/>
      <c r="F4" s="5"/>
      <c r="G4" s="5"/>
      <c r="H4" s="5" t="s">
        <v>4</v>
      </c>
      <c r="I4" s="5"/>
      <c r="J4" s="5"/>
      <c r="K4" s="5"/>
      <c r="L4" s="5" t="s">
        <v>5</v>
      </c>
      <c r="M4" s="5"/>
      <c r="N4" s="5"/>
    </row>
    <row r="5" customFormat="false" ht="27.75" hidden="false" customHeight="true" outlineLevel="0" collapsed="false">
      <c r="A5" s="6" t="s">
        <v>6</v>
      </c>
      <c r="B5" s="7" t="n">
        <v>200</v>
      </c>
      <c r="C5" s="4"/>
      <c r="D5" s="8" t="s">
        <v>7</v>
      </c>
      <c r="E5" s="9"/>
      <c r="F5" s="9"/>
      <c r="G5" s="9"/>
      <c r="H5" s="10" t="s">
        <v>8</v>
      </c>
      <c r="I5" s="10" t="s">
        <v>9</v>
      </c>
      <c r="J5" s="10" t="s">
        <v>10</v>
      </c>
      <c r="K5" s="10" t="s">
        <v>11</v>
      </c>
      <c r="L5" s="8" t="s">
        <v>12</v>
      </c>
      <c r="M5" s="11" t="str">
        <f aca="false">INDEX('Team Tracker'!$A$6:$A$18,MATCH(MAX('Team Tracker'!$G$6:$G$18),'Team Tracker'!$G$6:$G$18,0))</f>
        <v>RD</v>
      </c>
      <c r="N5" s="11"/>
    </row>
    <row r="6" customFormat="false" ht="15" hidden="false" customHeight="true" outlineLevel="0" collapsed="false">
      <c r="A6" s="12" t="s">
        <v>13</v>
      </c>
      <c r="B6" s="13" t="n">
        <f aca="false">SUMIF('Auction Log'!$D$5:$D$304,"ME",'Auction Log'!$E$5:$E$304)</f>
        <v>0</v>
      </c>
      <c r="C6" s="4"/>
      <c r="D6" s="8" t="s">
        <v>14</v>
      </c>
      <c r="E6" s="14" t="str">
        <f aca="false">IFERROR(INDEX('Player Board'!$B$5:$B$304,MATCH(E5,'Player Board'!$A$5:$A$304,0)),"")</f>
        <v/>
      </c>
      <c r="F6" s="8" t="s">
        <v>15</v>
      </c>
      <c r="G6" s="4" t="str">
        <f aca="false">IFERROR(INDEX('Player Board'!$C$5:$C$304,MATCH(E5,'Player Board'!$A$5:$A$304,0)),"")</f>
        <v/>
      </c>
      <c r="H6" s="15" t="s">
        <v>16</v>
      </c>
      <c r="I6" s="16" t="n">
        <v>9</v>
      </c>
      <c r="J6" s="16" t="n">
        <f aca="false">SUMIFS('Auction Log'!$E$5:$E$304,'Auction Log'!$D$5:$D$304,"ME",'Auction Log'!$C$5:$C$304,H6)</f>
        <v>0</v>
      </c>
      <c r="K6" s="16" t="n">
        <f aca="false">I6-J6</f>
        <v>9</v>
      </c>
      <c r="L6" s="8" t="s">
        <v>17</v>
      </c>
      <c r="M6" s="17" t="n">
        <f aca="false">MAX('Team Tracker'!$G$6:$G$18)</f>
        <v>186</v>
      </c>
      <c r="N6" s="17"/>
    </row>
    <row r="7" customFormat="false" ht="15" hidden="false" customHeight="true" outlineLevel="0" collapsed="false">
      <c r="A7" s="12" t="s">
        <v>18</v>
      </c>
      <c r="B7" s="13" t="n">
        <f aca="false">B5-B6</f>
        <v>200</v>
      </c>
      <c r="C7" s="4"/>
      <c r="D7" s="8" t="s">
        <v>19</v>
      </c>
      <c r="E7" s="14" t="str">
        <f aca="false">IFERROR(INDEX('Player Board'!$N$5:$N$304,MATCH(E5,'Player Board'!$A$5:$A$304,0)),"")</f>
        <v/>
      </c>
      <c r="F7" s="8" t="s">
        <v>20</v>
      </c>
      <c r="G7" s="14" t="str">
        <f aca="false">IFERROR(INDEX('Player Board'!$S$5:$S$304,MATCH(E5,'Player Board'!$A$5:$A$304,0)),"")</f>
        <v/>
      </c>
      <c r="H7" s="18" t="s">
        <v>21</v>
      </c>
      <c r="I7" s="19" t="n">
        <v>90</v>
      </c>
      <c r="J7" s="19" t="n">
        <f aca="false">SUMIFS('Auction Log'!$E$5:$E$304,'Auction Log'!$D$5:$D$304,"ME",'Auction Log'!$C$5:$C$304,H7)</f>
        <v>0</v>
      </c>
      <c r="K7" s="19" t="n">
        <f aca="false">I7-J7</f>
        <v>90</v>
      </c>
      <c r="L7" s="8" t="s">
        <v>22</v>
      </c>
      <c r="M7" s="11" t="n">
        <f aca="false">INDEX('Team Tracker'!$F$6:$F$18,MATCH(M5,'Team Tracker'!$A$6:$A$18,0))</f>
        <v>15</v>
      </c>
      <c r="N7" s="11"/>
    </row>
    <row r="8" customFormat="false" ht="30" hidden="false" customHeight="true" outlineLevel="0" collapsed="false">
      <c r="A8" s="12" t="s">
        <v>23</v>
      </c>
      <c r="B8" s="20" t="n">
        <f aca="false">COUNTIF('Auction Log'!$D$5:$D$304,"ME")</f>
        <v>0</v>
      </c>
      <c r="C8" s="4"/>
      <c r="D8" s="8" t="s">
        <v>24</v>
      </c>
      <c r="E8" s="14" t="str">
        <f aca="false">IFERROR(INDEX('Player Board'!$R$5:$R$304,MATCH(E5,'Player Board'!$A$5:$A$304,0)),"")</f>
        <v/>
      </c>
      <c r="F8" s="8" t="s">
        <v>25</v>
      </c>
      <c r="G8" s="21" t="str">
        <f aca="false">IF(E5="","",IF(E9&lt;&gt;"Available",0,MIN($B$10,ROUND(E8*$B$13,0))))</f>
        <v/>
      </c>
      <c r="H8" s="18" t="s">
        <v>26</v>
      </c>
      <c r="I8" s="19" t="n">
        <v>88</v>
      </c>
      <c r="J8" s="19" t="n">
        <f aca="false">SUMIFS('Auction Log'!$E$5:$E$304,'Auction Log'!$D$5:$D$304,"ME",'Auction Log'!$C$5:$C$304,H8)</f>
        <v>0</v>
      </c>
      <c r="K8" s="19" t="n">
        <f aca="false">I8-J8</f>
        <v>88</v>
      </c>
      <c r="L8" s="8" t="s">
        <v>27</v>
      </c>
      <c r="M8" s="11" t="str">
        <f aca="false">INDEX('Team Tracker'!$N$6:$N$18,MATCH(M5,'Team Tracker'!$A$6:$A$18,0))</f>
        <v>RB</v>
      </c>
      <c r="N8" s="11"/>
    </row>
    <row r="9" customFormat="false" ht="15" hidden="false" customHeight="true" outlineLevel="0" collapsed="false">
      <c r="A9" s="12" t="s">
        <v>22</v>
      </c>
      <c r="B9" s="20" t="n">
        <f aca="false">15-B8</f>
        <v>15</v>
      </c>
      <c r="C9" s="4"/>
      <c r="D9" s="8" t="s">
        <v>28</v>
      </c>
      <c r="E9" s="4" t="str">
        <f aca="false">IFERROR(INDEX('Player Board'!$D$5:$D$304,MATCH(E5,'Player Board'!$A$5:$A$304,0)),"")</f>
        <v/>
      </c>
      <c r="F9" s="8" t="s">
        <v>29</v>
      </c>
      <c r="G9" s="4" t="str">
        <f aca="false">IFERROR(INDEX('Player Board'!$T$5:$T$304,MATCH(E5,'Player Board'!$A$5:$A$304,0)),"")</f>
        <v/>
      </c>
      <c r="H9" s="18" t="s">
        <v>30</v>
      </c>
      <c r="I9" s="19" t="n">
        <v>11</v>
      </c>
      <c r="J9" s="19" t="n">
        <f aca="false">SUMIFS('Auction Log'!$E$5:$E$304,'Auction Log'!$D$5:$D$304,"ME",'Auction Log'!$C$5:$C$304,H9)</f>
        <v>0</v>
      </c>
      <c r="K9" s="19" t="n">
        <f aca="false">I9-J9</f>
        <v>11</v>
      </c>
      <c r="L9" s="8" t="s">
        <v>31</v>
      </c>
      <c r="M9" s="11" t="str">
        <f aca="false">IF(M6&gt;50,"HIGH",IF(M6&gt;25,"MODERATE","LOW"))</f>
        <v>HIGH</v>
      </c>
      <c r="N9" s="11"/>
    </row>
    <row r="10" customFormat="false" ht="15" hidden="false" customHeight="true" outlineLevel="0" collapsed="false">
      <c r="A10" s="12" t="s">
        <v>32</v>
      </c>
      <c r="B10" s="13" t="n">
        <f aca="false">IF(B9=0,0,B7-B9+1)</f>
        <v>186</v>
      </c>
      <c r="C10" s="4"/>
      <c r="D10" s="8" t="s">
        <v>33</v>
      </c>
      <c r="E10" s="22" t="str">
        <f aca="false">IFERROR(INDEX('Player Board'!$U$5:$U$304,MATCH(E5,'Player Board'!$A$5:$A$304,0)),"")</f>
        <v/>
      </c>
      <c r="F10" s="22"/>
      <c r="G10" s="22"/>
      <c r="H10" s="18" t="s">
        <v>34</v>
      </c>
      <c r="I10" s="19" t="n">
        <v>1</v>
      </c>
      <c r="J10" s="19" t="n">
        <f aca="false">SUMIFS('Auction Log'!$E$5:$E$304,'Auction Log'!$D$5:$D$304,"ME",'Auction Log'!$C$5:$C$304,H10)</f>
        <v>0</v>
      </c>
      <c r="K10" s="19" t="n">
        <f aca="false">I10-J10</f>
        <v>1</v>
      </c>
      <c r="L10" s="8" t="s">
        <v>35</v>
      </c>
      <c r="M10" s="11" t="str">
        <f aca="false">"Nominate "&amp;M8&amp;" to drain cash"</f>
        <v>Nominate RB to drain cash</v>
      </c>
      <c r="N10" s="11"/>
    </row>
    <row r="11" customFormat="false" ht="15" hidden="false" customHeight="true" outlineLevel="0" collapsed="false">
      <c r="A11" s="12" t="s">
        <v>36</v>
      </c>
      <c r="B11" s="13" t="n">
        <f aca="false">SUM('Team Tracker'!$D$5:$D$18)</f>
        <v>2800</v>
      </c>
      <c r="C11" s="4"/>
      <c r="D11" s="4"/>
      <c r="E11" s="22"/>
      <c r="F11" s="22"/>
      <c r="G11" s="22"/>
      <c r="H11" s="18" t="s">
        <v>37</v>
      </c>
      <c r="I11" s="19" t="n">
        <v>1</v>
      </c>
      <c r="J11" s="19" t="n">
        <f aca="false">SUMIFS('Auction Log'!$E$5:$E$304,'Auction Log'!$D$5:$D$304,"ME",'Auction Log'!$C$5:$C$304,H11)</f>
        <v>0</v>
      </c>
      <c r="K11" s="19" t="n">
        <f aca="false">I11-J11</f>
        <v>1</v>
      </c>
      <c r="L11" s="4"/>
      <c r="M11" s="4"/>
      <c r="N11" s="4"/>
    </row>
    <row r="12" customFormat="false" ht="45.75" hidden="false" customHeight="true" outlineLevel="0" collapsed="false">
      <c r="A12" s="12" t="s">
        <v>38</v>
      </c>
      <c r="B12" s="13" t="n">
        <f aca="false">SUMIFS('Player Board'!$R$5:$R$304,'Player Board'!$D$5:$D$304,"Available",'Player Board'!$W$5:$W$304,"YES")</f>
        <v>2800</v>
      </c>
      <c r="C12" s="4"/>
      <c r="D12" s="23" t="str">
        <f aca="false">IF(E5="","SELECT CURRENT NOMINATION FROM DROPDOWN",IF(E9&lt;&gt;"Available","SOLD - select next nomination",IF(E6&gt;=5,"SMASH BUY - bid assertively up to SAFE BID",IF(E6&gt;=2,"BUY - Target or below",IF(E6&gt;=-1,"NEUTRAL - only at Target",IF(E6&gt;=-4,"AVOID - demand a discount","DO NOT BID"))))))</f>
        <v>SELECT CURRENT NOMINATION FROM DROPDOWN</v>
      </c>
      <c r="E12" s="23"/>
      <c r="F12" s="23"/>
      <c r="G12" s="23"/>
      <c r="H12" s="4"/>
      <c r="I12" s="4"/>
      <c r="J12" s="4"/>
      <c r="K12" s="4"/>
      <c r="L12" s="4"/>
      <c r="M12" s="4"/>
      <c r="N12" s="4"/>
    </row>
    <row r="13" customFormat="false" ht="15" hidden="false" customHeight="true" outlineLevel="0" collapsed="false">
      <c r="A13" s="12" t="s">
        <v>39</v>
      </c>
      <c r="B13" s="24" t="n">
        <f aca="false">IFERROR(B11/B12,1)</f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true" outlineLevel="0" collapsed="false">
      <c r="A14" s="5" t="s">
        <v>40</v>
      </c>
      <c r="B14" s="5"/>
      <c r="C14" s="5"/>
      <c r="D14" s="5" t="s">
        <v>41</v>
      </c>
      <c r="E14" s="5"/>
      <c r="F14" s="5"/>
      <c r="G14" s="5"/>
      <c r="H14" s="5" t="s">
        <v>42</v>
      </c>
      <c r="I14" s="5"/>
      <c r="J14" s="5"/>
      <c r="K14" s="5"/>
      <c r="L14" s="5"/>
      <c r="M14" s="5"/>
      <c r="N14" s="5"/>
    </row>
    <row r="15" customFormat="false" ht="27.75" hidden="false" customHeight="true" outlineLevel="0" collapsed="false">
      <c r="A15" s="6" t="s">
        <v>43</v>
      </c>
      <c r="B15" s="25" t="n">
        <f aca="false">COUNTIF('Auction Log'!$B$5:$B$304,"&lt;&gt;")</f>
        <v>0</v>
      </c>
      <c r="C15" s="4"/>
      <c r="D15" s="8" t="s">
        <v>44</v>
      </c>
      <c r="E15" s="11" t="str">
        <f aca="false">IF(B15=0,"READY",B17&amp;" — "&amp;B15&amp;" nominations logged")</f>
        <v>READY</v>
      </c>
      <c r="F15" s="11"/>
      <c r="G15" s="11"/>
      <c r="H15" s="10" t="s">
        <v>8</v>
      </c>
      <c r="I15" s="10" t="s">
        <v>45</v>
      </c>
      <c r="J15" s="10" t="s">
        <v>20</v>
      </c>
      <c r="K15" s="10" t="s">
        <v>46</v>
      </c>
      <c r="L15" s="10" t="s">
        <v>28</v>
      </c>
      <c r="M15" s="10"/>
      <c r="N15" s="10"/>
    </row>
    <row r="16" customFormat="false" ht="15" hidden="false" customHeight="true" outlineLevel="0" collapsed="false">
      <c r="A16" s="12" t="s">
        <v>47</v>
      </c>
      <c r="B16" s="26" t="n">
        <f aca="false">MAX(0,(210-B15)*0.83/1440)</f>
        <v>0.121041666666667</v>
      </c>
      <c r="C16" s="4"/>
      <c r="D16" s="8" t="s">
        <v>48</v>
      </c>
      <c r="E16" s="11" t="str">
        <f aca="false">IF(B13&gt;1.1,"HEATING UP",IF(B13&gt;=1,"NEUTRAL","DEFLATING"))</f>
        <v>NEUTRAL</v>
      </c>
      <c r="F16" s="11"/>
      <c r="G16" s="11"/>
      <c r="H16" s="4" t="s">
        <v>16</v>
      </c>
      <c r="I16" s="4" t="n">
        <f aca="false">'Team Tracker'!H5</f>
        <v>0</v>
      </c>
      <c r="J16" s="4" t="n">
        <v>1</v>
      </c>
      <c r="K16" s="4" t="n">
        <f aca="false">MAX(0,J16-I16)</f>
        <v>1</v>
      </c>
      <c r="L16" s="11" t="str">
        <f aca="false">IF(I16&gt;=J16,"SET",IF($B$15&gt;=60,"CRITICAL — fill now","NEED "&amp;K16))</f>
        <v>NEED 1</v>
      </c>
      <c r="M16" s="11"/>
      <c r="N16" s="11"/>
    </row>
    <row r="17" customFormat="false" ht="42" hidden="false" customHeight="true" outlineLevel="0" collapsed="false">
      <c r="A17" s="12" t="s">
        <v>49</v>
      </c>
      <c r="B17" s="18" t="str">
        <f aca="false">IF(B15&lt;=20,"OPENING",IF(B15&lt;=90,"MIDDLE",IF(B15&lt;150,"LATE","ENDGAME")))</f>
        <v>OPENING</v>
      </c>
      <c r="C17" s="4"/>
      <c r="D17" s="8" t="s">
        <v>50</v>
      </c>
      <c r="E17" s="27" t="str">
        <f aca="false">IF(B13&gt;1.1,"Room underspent; remaining prices are rising. Buy scarce targets before tiers close.",IF(B13&gt;=1,"Neutral market. Buy at Target or below with confidence.","Room overspent; remaining players are deflating. Stay patient and obey SAFE BID."))</f>
        <v>Neutral market. Buy at Target or below with confidence.</v>
      </c>
      <c r="F17" s="27"/>
      <c r="G17" s="27"/>
      <c r="H17" s="4" t="s">
        <v>21</v>
      </c>
      <c r="I17" s="4" t="n">
        <f aca="false">'Team Tracker'!I5</f>
        <v>0</v>
      </c>
      <c r="J17" s="4" t="n">
        <v>5</v>
      </c>
      <c r="K17" s="4" t="n">
        <f aca="false">MAX(0,J17-I17)</f>
        <v>5</v>
      </c>
      <c r="L17" s="11" t="str">
        <f aca="false">IF(I17&gt;=5,"SET",IF(AND($B$15&gt;=60,I17&lt;4),"CRITICAL — need "&amp;K17,IF(AND($B$15&gt;=30,I17&lt;3),"HIGH ALERT — need "&amp;K17,"NEED "&amp;K17)))</f>
        <v>NEED 5</v>
      </c>
      <c r="M17" s="11"/>
      <c r="N17" s="11"/>
    </row>
    <row r="18" customFormat="false" ht="15" hidden="false" customHeight="true" outlineLevel="0" collapsed="false">
      <c r="A18" s="12" t="s">
        <v>51</v>
      </c>
      <c r="B18" s="18" t="str">
        <f aca="false">IF(B15=0,"—",INDEX('Auction Log'!$B$5:$B$304,MATCH(B15,'Auction Log'!$A$5:$A$304,0)))</f>
        <v>—</v>
      </c>
      <c r="C18" s="4"/>
      <c r="D18" s="4"/>
      <c r="E18" s="27"/>
      <c r="F18" s="27"/>
      <c r="G18" s="27"/>
      <c r="H18" s="4" t="s">
        <v>26</v>
      </c>
      <c r="I18" s="4" t="n">
        <f aca="false">'Team Tracker'!J5</f>
        <v>0</v>
      </c>
      <c r="J18" s="4" t="n">
        <v>5</v>
      </c>
      <c r="K18" s="4" t="n">
        <f aca="false">MAX(0,J18-I18)</f>
        <v>5</v>
      </c>
      <c r="L18" s="11" t="str">
        <f aca="false">IF(I18&gt;=5,"SET",IF(AND($B$15&gt;=60,I18&lt;4),"CRITICAL — need "&amp;K18,IF(AND($B$15&gt;=30,I18&lt;3),"HIGH ALERT — need "&amp;K18,"NEED "&amp;K18)))</f>
        <v>NEED 5</v>
      </c>
      <c r="M18" s="11"/>
      <c r="N18" s="11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 t="s">
        <v>30</v>
      </c>
      <c r="I19" s="4" t="n">
        <f aca="false">'Team Tracker'!K5</f>
        <v>0</v>
      </c>
      <c r="J19" s="4" t="n">
        <v>1</v>
      </c>
      <c r="K19" s="4" t="n">
        <f aca="false">MAX(0,J19-I19)</f>
        <v>1</v>
      </c>
      <c r="L19" s="11" t="str">
        <f aca="false">IF(I19&gt;=1,"SET",IF($B$15&gt;=90,"HIGH ALERT","NEED 1"))</f>
        <v>NEED 1</v>
      </c>
      <c r="M19" s="11"/>
      <c r="N19" s="11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 t="s">
        <v>34</v>
      </c>
      <c r="I20" s="4" t="n">
        <f aca="false">'Team Tracker'!L5</f>
        <v>0</v>
      </c>
      <c r="J20" s="4" t="n">
        <v>1</v>
      </c>
      <c r="K20" s="4" t="n">
        <f aca="false">MAX(0,J20-I20)</f>
        <v>1</v>
      </c>
      <c r="L20" s="11" t="str">
        <f aca="false">IF(I20&gt;=1,"SET",IF($B$15&lt;150,"WAIT — reserve $1","NEED 1 NOW"))</f>
        <v>WAIT — reserve $1</v>
      </c>
      <c r="M20" s="11"/>
      <c r="N20" s="11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 t="s">
        <v>37</v>
      </c>
      <c r="I21" s="4" t="n">
        <f aca="false">'Team Tracker'!M5</f>
        <v>0</v>
      </c>
      <c r="J21" s="4" t="n">
        <v>1</v>
      </c>
      <c r="K21" s="4" t="n">
        <f aca="false">MAX(0,J21-I21)</f>
        <v>1</v>
      </c>
      <c r="L21" s="11" t="str">
        <f aca="false">IF(I21&gt;=1,"SET",IF($B$15&lt;150,"WAIT — reserve $1","NEED 1 NOW"))</f>
        <v>WAIT — reserve $1</v>
      </c>
      <c r="M21" s="11"/>
      <c r="N21" s="11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23" t="str">
        <f aca="false">IF(AND($B$15&gt;=60,I17&lt;4),"RB DEPTH CRITICAL — prioritize the next value RB",IF(AND($B$15&gt;=30,I17&lt;3),"RB DEPTH HIGH ALERT — need volume",IF(AND($B$15&gt;=60,I18&lt;4),"WR DEPTH CRITICAL — prioritize the next value WR",IF(AND($B$15&gt;=30,I18&lt;3),"WR DEPTH HIGH ALERT — need targets","POSITION HEALTH ON TRACK"))))</f>
        <v>POSITION HEALTH ON TRACK</v>
      </c>
      <c r="I22" s="23"/>
      <c r="J22" s="23"/>
      <c r="K22" s="23"/>
      <c r="L22" s="23"/>
      <c r="M22" s="23"/>
      <c r="N22" s="23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true" outlineLevel="0" collapsed="false">
      <c r="A24" s="5" t="s">
        <v>52</v>
      </c>
      <c r="B24" s="5"/>
      <c r="C24" s="5"/>
      <c r="D24" s="5"/>
      <c r="E24" s="5"/>
      <c r="F24" s="5"/>
      <c r="G24" s="5" t="s">
        <v>53</v>
      </c>
      <c r="H24" s="5"/>
      <c r="I24" s="5"/>
      <c r="J24" s="5"/>
      <c r="K24" s="5"/>
      <c r="L24" s="5"/>
      <c r="M24" s="5"/>
      <c r="N24" s="5"/>
    </row>
    <row r="25" customFormat="false" ht="27.75" hidden="false" customHeight="true" outlineLevel="0" collapsed="false">
      <c r="A25" s="10" t="s">
        <v>54</v>
      </c>
      <c r="B25" s="10" t="s">
        <v>55</v>
      </c>
      <c r="C25" s="28" t="s">
        <v>56</v>
      </c>
      <c r="D25" s="10" t="s">
        <v>57</v>
      </c>
      <c r="E25" s="10"/>
      <c r="F25" s="10"/>
      <c r="G25" s="10" t="s">
        <v>7</v>
      </c>
      <c r="H25" s="10" t="s">
        <v>58</v>
      </c>
      <c r="I25" s="10" t="s">
        <v>20</v>
      </c>
      <c r="J25" s="10" t="s">
        <v>59</v>
      </c>
      <c r="K25" s="10" t="s">
        <v>28</v>
      </c>
      <c r="L25" s="10" t="s">
        <v>60</v>
      </c>
      <c r="M25" s="10" t="s">
        <v>35</v>
      </c>
      <c r="N25" s="10"/>
    </row>
    <row r="26" customFormat="false" ht="43.5" hidden="false" customHeight="true" outlineLevel="0" collapsed="false">
      <c r="A26" s="15" t="s">
        <v>61</v>
      </c>
      <c r="B26" s="15" t="s">
        <v>62</v>
      </c>
      <c r="C26" s="29" t="n">
        <f aca="false">COUNTIFS('Player Board'!$R$5:$R$304,"&gt;=55",'Player Board'!$D$5:$D$304,"Available")</f>
        <v>7</v>
      </c>
      <c r="D26" s="30" t="str">
        <f aca="false">IF(C26=0,"—",IFERROR(INDEX('Player Board'!$A$5:$A$304,SMALL('Player Board'!$X$5:$X$304,1)-4),"")&amp;IF(C26&gt;1,CHAR(10)&amp;IFERROR(INDEX('Player Board'!$A$5:$A$304,SMALL('Player Board'!$X$5:$X$304,2)-4),""),"")&amp;IF(C26&gt;2,CHAR(10)&amp;IFERROR(INDEX('Player Board'!$A$5:$A$304,SMALL('Player Board'!$X$5:$X$304,3)-4),""),""))</f>
        <v>Jahmyr Gibbs
Ja'Marr Chase
Bijan Robinson</v>
      </c>
      <c r="E26" s="30"/>
      <c r="F26" s="30"/>
      <c r="G26" s="15" t="s">
        <v>63</v>
      </c>
      <c r="H26" s="15" t="str">
        <f aca="false">IFERROR(INDEX('Player Board'!$G$5:$G$304,MATCH(G26,'Player Board'!$A$5:$A$304,0)),"")</f>
        <v>QB</v>
      </c>
      <c r="I26" s="16" t="n">
        <f aca="false">IFERROR(INDEX('Player Board'!$S$5:$S$304,MATCH(G26,'Player Board'!$A$5:$A$304,0)),"")</f>
        <v>8</v>
      </c>
      <c r="J26" s="16" t="n">
        <f aca="false">IFERROR(INDEX('Player Board'!$R$5:$R$304,MATCH(G26,'Player Board'!$A$5:$A$304,0)),"")</f>
        <v>10</v>
      </c>
      <c r="K26" s="15" t="str">
        <f aca="false">IFERROR(INDEX('Player Board'!$D$5:$D$304,MATCH(G26,'Player Board'!$A$5:$A$304,0)),"")</f>
        <v>Available</v>
      </c>
      <c r="L26" s="16" t="str">
        <f aca="false">IFERROR(INDEX('Player Board'!$E$5:$E$304,MATCH(G26,'Player Board'!$A$5:$A$304,0)),"")</f>
        <v/>
      </c>
      <c r="M26" s="15" t="str">
        <f aca="false">IF(K26="","NOT ON BOARD",IF(K26="Available","WATCH",IF(L26&lt;&gt;"","SOLD $"&amp;L26,"GONE")))</f>
        <v>WATCH</v>
      </c>
      <c r="N26" s="15"/>
    </row>
    <row r="27" customFormat="false" ht="43.5" hidden="false" customHeight="true" outlineLevel="0" collapsed="false">
      <c r="A27" s="18" t="s">
        <v>64</v>
      </c>
      <c r="B27" s="18" t="s">
        <v>65</v>
      </c>
      <c r="C27" s="31" t="n">
        <f aca="false">COUNTIFS('Player Board'!$R$5:$R$304,"&gt;=40",'Player Board'!$R$5:$R$304,"&lt;55",'Player Board'!$D$5:$D$304,"Available")</f>
        <v>7</v>
      </c>
      <c r="D27" s="32" t="str">
        <f aca="false">IF(C27=0,"—",IFERROR(INDEX('Player Board'!$A$5:$A$304,SMALL('Player Board'!$Y$5:$Y$304,1)-4),"")&amp;IF(C27&gt;1,CHAR(10)&amp;IFERROR(INDEX('Player Board'!$A$5:$A$304,SMALL('Player Board'!$Y$5:$Y$304,2)-4),""),"")&amp;IF(C27&gt;2,CHAR(10)&amp;IFERROR(INDEX('Player Board'!$A$5:$A$304,SMALL('Player Board'!$Y$5:$Y$304,3)-4),""),""))</f>
        <v>Jonathan Taylor
CeeDee Lamb
Drake London</v>
      </c>
      <c r="E27" s="32"/>
      <c r="F27" s="32"/>
      <c r="G27" s="18" t="s">
        <v>66</v>
      </c>
      <c r="H27" s="18" t="str">
        <f aca="false">IFERROR(INDEX('Player Board'!$G$5:$G$304,MATCH(G27,'Player Board'!$A$5:$A$304,0)),"")</f>
        <v>WR</v>
      </c>
      <c r="I27" s="19" t="n">
        <f aca="false">IFERROR(INDEX('Player Board'!$S$5:$S$304,MATCH(G27,'Player Board'!$A$5:$A$304,0)),"")</f>
        <v>8</v>
      </c>
      <c r="J27" s="19" t="n">
        <f aca="false">IFERROR(INDEX('Player Board'!$R$5:$R$304,MATCH(G27,'Player Board'!$A$5:$A$304,0)),"")</f>
        <v>9</v>
      </c>
      <c r="K27" s="18" t="str">
        <f aca="false">IFERROR(INDEX('Player Board'!$D$5:$D$304,MATCH(G27,'Player Board'!$A$5:$A$304,0)),"")</f>
        <v>Available</v>
      </c>
      <c r="L27" s="19" t="str">
        <f aca="false">IFERROR(INDEX('Player Board'!$E$5:$E$304,MATCH(G27,'Player Board'!$A$5:$A$304,0)),"")</f>
        <v/>
      </c>
      <c r="M27" s="18" t="str">
        <f aca="false">IF(K27="","NOT ON BOARD",IF(K27="Available","WATCH",IF(L27&lt;&gt;"","SOLD $"&amp;L27,"GONE")))</f>
        <v>WATCH</v>
      </c>
      <c r="N27" s="18"/>
    </row>
    <row r="28" customFormat="false" ht="43.5" hidden="false" customHeight="true" outlineLevel="0" collapsed="false">
      <c r="A28" s="18" t="s">
        <v>67</v>
      </c>
      <c r="B28" s="18" t="s">
        <v>68</v>
      </c>
      <c r="C28" s="18" t="n">
        <f aca="false">COUNTIFS('Player Board'!$R$5:$R$304,"&gt;=25",'Player Board'!$R$5:$R$304,"&lt;40",'Player Board'!$D$5:$D$304,"Available")</f>
        <v>27</v>
      </c>
      <c r="D28" s="32" t="str">
        <f aca="false">IF(C28=0,"—",IFERROR(INDEX('Player Board'!$A$5:$A$304,SMALL('Player Board'!$Z$5:$Z$304,1)-4),"")&amp;IF(C28&gt;1,CHAR(10)&amp;IFERROR(INDEX('Player Board'!$A$5:$A$304,SMALL('Player Board'!$Z$5:$Z$304,2)-4),""),"")&amp;IF(C28&gt;2,CHAR(10)&amp;IFERROR(INDEX('Player Board'!$A$5:$A$304,SMALL('Player Board'!$Z$5:$Z$304,3)-4),""),""))</f>
        <v>Chase Brown
Chris Olave
A.J. Brown</v>
      </c>
      <c r="E28" s="32"/>
      <c r="F28" s="32"/>
      <c r="G28" s="18" t="s">
        <v>69</v>
      </c>
      <c r="H28" s="18" t="str">
        <f aca="false">IFERROR(INDEX('Player Board'!$G$5:$G$304,MATCH(G28,'Player Board'!$A$5:$A$304,0)),"")</f>
        <v>WR</v>
      </c>
      <c r="I28" s="19" t="n">
        <f aca="false">IFERROR(INDEX('Player Board'!$S$5:$S$304,MATCH(G28,'Player Board'!$A$5:$A$304,0)),"")</f>
        <v>8</v>
      </c>
      <c r="J28" s="19" t="n">
        <f aca="false">IFERROR(INDEX('Player Board'!$R$5:$R$304,MATCH(G28,'Player Board'!$A$5:$A$304,0)),"")</f>
        <v>9</v>
      </c>
      <c r="K28" s="18" t="str">
        <f aca="false">IFERROR(INDEX('Player Board'!$D$5:$D$304,MATCH(G28,'Player Board'!$A$5:$A$304,0)),"")</f>
        <v>Available</v>
      </c>
      <c r="L28" s="19" t="str">
        <f aca="false">IFERROR(INDEX('Player Board'!$E$5:$E$304,MATCH(G28,'Player Board'!$A$5:$A$304,0)),"")</f>
        <v/>
      </c>
      <c r="M28" s="18" t="str">
        <f aca="false">IF(K28="","NOT ON BOARD",IF(K28="Available","WATCH",IF(L28&lt;&gt;"","SOLD $"&amp;L28,"GONE")))</f>
        <v>WATCH</v>
      </c>
      <c r="N28" s="18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18" t="s">
        <v>70</v>
      </c>
      <c r="H29" s="18" t="str">
        <f aca="false">IFERROR(INDEX('Player Board'!$G$5:$G$304,MATCH(G29,'Player Board'!$A$5:$A$304,0)),"")</f>
        <v>TE</v>
      </c>
      <c r="I29" s="19" t="n">
        <f aca="false">IFERROR(INDEX('Player Board'!$S$5:$S$304,MATCH(G29,'Player Board'!$A$5:$A$304,0)),"")</f>
        <v>12</v>
      </c>
      <c r="J29" s="19" t="n">
        <f aca="false">IFERROR(INDEX('Player Board'!$R$5:$R$304,MATCH(G29,'Player Board'!$A$5:$A$304,0)),"")</f>
        <v>14</v>
      </c>
      <c r="K29" s="18" t="str">
        <f aca="false">IFERROR(INDEX('Player Board'!$D$5:$D$304,MATCH(G29,'Player Board'!$A$5:$A$304,0)),"")</f>
        <v>Available</v>
      </c>
      <c r="L29" s="19" t="str">
        <f aca="false">IFERROR(INDEX('Player Board'!$E$5:$E$304,MATCH(G29,'Player Board'!$A$5:$A$304,0)),"")</f>
        <v/>
      </c>
      <c r="M29" s="18" t="str">
        <f aca="false">IF(K29="","NOT ON BOARD",IF(K29="Available","WATCH",IF(L29&lt;&gt;"","SOLD $"&amp;L29,"GONE")))</f>
        <v>WATCH</v>
      </c>
      <c r="N29" s="18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18" t="s">
        <v>71</v>
      </c>
      <c r="H30" s="18" t="str">
        <f aca="false">IFERROR(INDEX('Player Board'!$G$5:$G$304,MATCH(G30,'Player Board'!$A$5:$A$304,0)),"")</f>
        <v>RB</v>
      </c>
      <c r="I30" s="19" t="n">
        <f aca="false">IFERROR(INDEX('Player Board'!$S$5:$S$304,MATCH(G30,'Player Board'!$A$5:$A$304,0)),"")</f>
        <v>13</v>
      </c>
      <c r="J30" s="19" t="n">
        <f aca="false">IFERROR(INDEX('Player Board'!$R$5:$R$304,MATCH(G30,'Player Board'!$A$5:$A$304,0)),"")</f>
        <v>15</v>
      </c>
      <c r="K30" s="18" t="str">
        <f aca="false">IFERROR(INDEX('Player Board'!$D$5:$D$304,MATCH(G30,'Player Board'!$A$5:$A$304,0)),"")</f>
        <v>Available</v>
      </c>
      <c r="L30" s="19" t="str">
        <f aca="false">IFERROR(INDEX('Player Board'!$E$5:$E$304,MATCH(G30,'Player Board'!$A$5:$A$304,0)),"")</f>
        <v/>
      </c>
      <c r="M30" s="18" t="str">
        <f aca="false">IF(K30="","NOT ON BOARD",IF(K30="Available","WATCH",IF(L30&lt;&gt;"","SOLD $"&amp;L30,"GONE")))</f>
        <v>WATCH</v>
      </c>
      <c r="N30" s="18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33" t="str">
        <f aca="false">IFERROR(INDEX(G26:G30,MATCH("Available",K26:K30,0))&amp;" is still available — current adjusted max $"&amp;MIN($B$10,ROUND(INDEX(J26:J30,MATCH("Available",K26:K30,0))*$B$13,0)),"All listed endgame targets are gone.")</f>
        <v>Matthew Stafford is still available — current adjusted max $10</v>
      </c>
      <c r="H31" s="33"/>
      <c r="I31" s="33"/>
      <c r="J31" s="33"/>
      <c r="K31" s="33"/>
      <c r="L31" s="33"/>
      <c r="M31" s="33"/>
      <c r="N31" s="33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true" outlineLevel="0" collapsed="false">
      <c r="A33" s="5" t="s">
        <v>72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A34" s="8" t="s">
        <v>73</v>
      </c>
      <c r="B34" s="11" t="n">
        <f aca="false">COUNTIF('Auction Log'!$B$5:$B$304,"&lt;&gt;")+5</f>
        <v>5</v>
      </c>
      <c r="C34" s="11"/>
      <c r="D34" s="9" t="str">
        <f aca="false">"GO TO AUCTION LOG — enter the next sale in bright-green row "&amp;B34</f>
        <v>GO TO AUCTION LOG — enter the next sale in bright-green row 5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15" hidden="false" customHeight="true" outlineLevel="0" collapsed="false">
      <c r="A35" s="8" t="s">
        <v>74</v>
      </c>
      <c r="B35" s="27" t="str">
        <f aca="false">IF(B15=0,"Nothing to undo.","Clear Player, Winner, Price, Roster Slot and Note in Auction Log row "&amp;(B15+4)&amp;".")</f>
        <v>Nothing to undo.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customFormat="false" ht="15" hidden="false" customHeight="true" outlineLevel="0" collapsed="false">
      <c r="A36" s="8" t="s">
        <v>75</v>
      </c>
      <c r="B36" s="27" t="s">
        <v>76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</sheetData>
  <mergeCells count="47">
    <mergeCell ref="A1:N1"/>
    <mergeCell ref="A2:N2"/>
    <mergeCell ref="A4:C4"/>
    <mergeCell ref="D4:G4"/>
    <mergeCell ref="H4:K4"/>
    <mergeCell ref="L4:N4"/>
    <mergeCell ref="E5:G5"/>
    <mergeCell ref="M5:N5"/>
    <mergeCell ref="M6:N6"/>
    <mergeCell ref="M7:N7"/>
    <mergeCell ref="M8:N8"/>
    <mergeCell ref="M9:N9"/>
    <mergeCell ref="E10:G11"/>
    <mergeCell ref="M10:N10"/>
    <mergeCell ref="D12:G12"/>
    <mergeCell ref="A14:C14"/>
    <mergeCell ref="D14:G14"/>
    <mergeCell ref="H14:N14"/>
    <mergeCell ref="E15:G15"/>
    <mergeCell ref="L15:N15"/>
    <mergeCell ref="E16:G16"/>
    <mergeCell ref="L16:N16"/>
    <mergeCell ref="E17:G18"/>
    <mergeCell ref="L17:N17"/>
    <mergeCell ref="L18:N18"/>
    <mergeCell ref="L19:N19"/>
    <mergeCell ref="L20:N20"/>
    <mergeCell ref="L21:N21"/>
    <mergeCell ref="H22:N22"/>
    <mergeCell ref="A24:F24"/>
    <mergeCell ref="G24:N24"/>
    <mergeCell ref="D25:F25"/>
    <mergeCell ref="M25:N25"/>
    <mergeCell ref="D26:F26"/>
    <mergeCell ref="M26:N26"/>
    <mergeCell ref="D27:F27"/>
    <mergeCell ref="M27:N27"/>
    <mergeCell ref="D28:F28"/>
    <mergeCell ref="M28:N28"/>
    <mergeCell ref="M29:N29"/>
    <mergeCell ref="M30:N30"/>
    <mergeCell ref="G31:N31"/>
    <mergeCell ref="A33:N33"/>
    <mergeCell ref="B34:C34"/>
    <mergeCell ref="D34:N34"/>
    <mergeCell ref="B35:N35"/>
    <mergeCell ref="B36:N36"/>
  </mergeCells>
  <conditionalFormatting sqref="B13">
    <cfRule type="cellIs" priority="2" operator="greaterThan" aboveAverage="0" equalAverage="0" bottom="0" percent="0" rank="0" text="" dxfId="0">
      <formula>1.03</formula>
    </cfRule>
    <cfRule type="cellIs" priority="3" operator="lessThan" aboveAverage="0" equalAverage="0" bottom="0" percent="0" rank="0" text="" dxfId="1">
      <formula>0.97</formula>
    </cfRule>
    <cfRule type="cellIs" priority="4" operator="greaterThan" aboveAverage="0" equalAverage="0" bottom="0" percent="0" rank="0" text="" dxfId="2">
      <formula>1.15</formula>
    </cfRule>
    <cfRule type="cellIs" priority="5" operator="between" aboveAverage="0" equalAverage="0" bottom="0" percent="0" rank="0" text="" dxfId="3">
      <formula>1</formula>
      <formula>1.15</formula>
    </cfRule>
    <cfRule type="cellIs" priority="6" operator="lessThan" aboveAverage="0" equalAverage="0" bottom="0" percent="0" rank="0" text="" dxfId="4">
      <formula>1</formula>
    </cfRule>
  </conditionalFormatting>
  <conditionalFormatting sqref="J6:J11">
    <cfRule type="cellIs" priority="7" operator="greaterThan" aboveAverage="0" equalAverage="0" bottom="0" percent="0" rank="0" text="" dxfId="5">
      <formula>0</formula>
    </cfRule>
    <cfRule type="cellIs" priority="8" operator="lessThan" aboveAverage="0" equalAverage="0" bottom="0" percent="0" rank="0" text="" dxfId="6">
      <formula>0</formula>
    </cfRule>
  </conditionalFormatting>
  <conditionalFormatting sqref="D12:G12">
    <cfRule type="containsText" priority="9" operator="containsText" aboveAverage="0" equalAverage="0" bottom="0" percent="0" rank="0" text="SMASH" dxfId="7">
      <formula>NOT(ISERROR(SEARCH("SMASH",D12)))</formula>
    </cfRule>
    <cfRule type="containsText" priority="10" operator="containsText" aboveAverage="0" equalAverage="0" bottom="0" percent="0" rank="0" text="AVOID" dxfId="8">
      <formula>NOT(ISERROR(SEARCH("AVOID",D12)))</formula>
    </cfRule>
  </conditionalFormatting>
  <conditionalFormatting sqref="K6:K11">
    <cfRule type="expression" priority="11" aboveAverage="0" equalAverage="0" bottom="0" percent="0" rank="0" text="" dxfId="9">
      <formula>$K6&lt;-$I6*20%</formula>
    </cfRule>
    <cfRule type="expression" priority="12" aboveAverage="0" equalAverage="0" bottom="0" percent="0" rank="0" text="" dxfId="10">
      <formula>AND($K6&lt;0,$K6&gt;=-$I6*20%)</formula>
    </cfRule>
    <cfRule type="expression" priority="13" aboveAverage="0" equalAverage="0" bottom="0" percent="0" rank="0" text="" dxfId="11">
      <formula>$K6&gt;=0</formula>
    </cfRule>
    <cfRule type="cellIs" priority="14" operator="greaterThanOrEqual" aboveAverage="0" equalAverage="0" bottom="0" percent="0" rank="0" text="" dxfId="12">
      <formula>0</formula>
    </cfRule>
    <cfRule type="cellIs" priority="15" operator="lessThan" aboveAverage="0" equalAverage="0" bottom="0" percent="0" rank="0" text="" dxfId="13">
      <formula>0</formula>
    </cfRule>
  </conditionalFormatting>
  <conditionalFormatting sqref="M9:N9">
    <cfRule type="containsText" priority="16" operator="containsText" aboveAverage="0" equalAverage="0" bottom="0" percent="0" rank="0" text="HIGH" dxfId="14">
      <formula>NOT(ISERROR(SEARCH("HIGH",M9)))</formula>
    </cfRule>
    <cfRule type="containsText" priority="17" operator="containsText" aboveAverage="0" equalAverage="0" bottom="0" percent="0" rank="0" text="MODERATE" dxfId="15">
      <formula>NOT(ISERROR(SEARCH("MODERATE",M9)))</formula>
    </cfRule>
    <cfRule type="containsText" priority="18" operator="containsText" aboveAverage="0" equalAverage="0" bottom="0" percent="0" rank="0" text="LOW" dxfId="16">
      <formula>NOT(ISERROR(SEARCH("LOW",M9)))</formula>
    </cfRule>
  </conditionalFormatting>
  <conditionalFormatting sqref="E16:G16">
    <cfRule type="containsText" priority="19" operator="containsText" aboveAverage="0" equalAverage="0" bottom="0" percent="0" rank="0" text="HEATING" dxfId="17">
      <formula>NOT(ISERROR(SEARCH("HEATING",E16)))</formula>
    </cfRule>
    <cfRule type="containsText" priority="20" operator="containsText" aboveAverage="0" equalAverage="0" bottom="0" percent="0" rank="0" text="NEUTRAL" dxfId="18">
      <formula>NOT(ISERROR(SEARCH("NEUTRAL",E16)))</formula>
    </cfRule>
    <cfRule type="containsText" priority="21" operator="containsText" aboveAverage="0" equalAverage="0" bottom="0" percent="0" rank="0" text="DEFLATING" dxfId="19">
      <formula>NOT(ISERROR(SEARCH("DEFLATING",E16)))</formula>
    </cfRule>
  </conditionalFormatting>
  <conditionalFormatting sqref="L16:N21">
    <cfRule type="containsText" priority="22" operator="containsText" aboveAverage="0" equalAverage="0" bottom="0" percent="0" rank="0" text="SET" dxfId="20">
      <formula>NOT(ISERROR(SEARCH("SET",L16)))</formula>
    </cfRule>
    <cfRule type="containsText" priority="23" operator="containsText" aboveAverage="0" equalAverage="0" bottom="0" percent="0" rank="0" text="CRITICAL" dxfId="21">
      <formula>NOT(ISERROR(SEARCH("CRITICAL",L16)))</formula>
    </cfRule>
    <cfRule type="containsText" priority="24" operator="containsText" aboveAverage="0" equalAverage="0" bottom="0" percent="0" rank="0" text="HIGH ALERT" dxfId="22">
      <formula>NOT(ISERROR(SEARCH("HIGH ALERT",L16)))</formula>
    </cfRule>
    <cfRule type="containsText" priority="25" operator="containsText" aboveAverage="0" equalAverage="0" bottom="0" percent="0" rank="0" text="WAIT" dxfId="23">
      <formula>NOT(ISERROR(SEARCH("WAIT",L16)))</formula>
    </cfRule>
  </conditionalFormatting>
  <conditionalFormatting sqref="H22:N22">
    <cfRule type="containsText" priority="26" operator="containsText" aboveAverage="0" equalAverage="0" bottom="0" percent="0" rank="0" text="CRITICAL" dxfId="24">
      <formula>NOT(ISERROR(SEARCH("CRITICAL",H22)))</formula>
    </cfRule>
    <cfRule type="containsText" priority="27" operator="containsText" aboveAverage="0" equalAverage="0" bottom="0" percent="0" rank="0" text="HIGH ALERT" dxfId="25">
      <formula>NOT(ISERROR(SEARCH("HIGH ALERT",H22)))</formula>
    </cfRule>
  </conditionalFormatting>
  <conditionalFormatting sqref="B7">
    <cfRule type="cellIs" priority="28" operator="lessThan" aboveAverage="0" equalAverage="0" bottom="0" percent="0" rank="0" text="" dxfId="26">
      <formula>20</formula>
    </cfRule>
    <cfRule type="cellIs" priority="29" operator="between" aboveAverage="0" equalAverage="0" bottom="0" percent="0" rank="0" text="" dxfId="27">
      <formula>20</formula>
      <formula>50</formula>
    </cfRule>
    <cfRule type="cellIs" priority="30" operator="greaterThan" aboveAverage="0" equalAverage="0" bottom="0" percent="0" rank="0" text="" dxfId="28">
      <formula>50</formula>
    </cfRule>
  </conditionalFormatting>
  <conditionalFormatting sqref="B9">
    <cfRule type="cellIs" priority="31" operator="lessThan" aboveAverage="0" equalAverage="0" bottom="0" percent="0" rank="0" text="" dxfId="29">
      <formula>3</formula>
    </cfRule>
    <cfRule type="cellIs" priority="32" operator="between" aboveAverage="0" equalAverage="0" bottom="0" percent="0" rank="0" text="" dxfId="30">
      <formula>3</formula>
      <formula>7</formula>
    </cfRule>
    <cfRule type="cellIs" priority="33" operator="greaterThan" aboveAverage="0" equalAverage="0" bottom="0" percent="0" rank="0" text="" dxfId="31">
      <formula>7</formula>
    </cfRule>
  </conditionalFormatting>
  <conditionalFormatting sqref="C25:C27">
    <cfRule type="cellIs" priority="34" operator="lessThanOrEqual" aboveAverage="0" equalAverage="0" bottom="0" percent="0" rank="0" text="" dxfId="32">
      <formula>3</formula>
    </cfRule>
    <cfRule type="cellIs" priority="35" operator="between" aboveAverage="0" equalAverage="0" bottom="0" percent="0" rank="0" text="" dxfId="33">
      <formula>4</formula>
      <formula>5</formula>
    </cfRule>
  </conditionalFormatting>
  <dataValidations count="1">
    <dataValidation allowBlank="true" error="Use the dropdown so player lookups remain intact." errorStyle="stop" errorTitle="Select a valid player" operator="between" prompt="Choose the nominated or sold player from Player Board." promptTitle="Player selector" showDropDown="false" showErrorMessage="true" showInputMessage="true" sqref="E5" type="list">
      <formula1>PlayerList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1"/>
  <cols>
    <col collapsed="false" customWidth="true" hidden="false" outlineLevel="0" max="1" min="1" style="1" width="24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7" min="6" style="1" width="8"/>
    <col collapsed="false" customWidth="true" hidden="true" outlineLevel="1" max="8" min="8" style="1" width="6"/>
    <col collapsed="false" customWidth="true" hidden="true" outlineLevel="1" max="9" min="9" style="1" width="7"/>
    <col collapsed="false" customWidth="true" hidden="true" outlineLevel="1" max="10" min="10" style="1" width="6"/>
    <col collapsed="false" customWidth="true" hidden="true" outlineLevel="1" max="13" min="11" style="1" width="10"/>
    <col collapsed="false" customWidth="true" hidden="false" outlineLevel="0" max="14" min="14" style="1" width="11"/>
    <col collapsed="false" customWidth="true" hidden="true" outlineLevel="1" max="15" min="15" style="1" width="10"/>
    <col collapsed="false" customWidth="true" hidden="true" outlineLevel="1" max="17" min="16" style="1" width="9"/>
    <col collapsed="false" customWidth="true" hidden="false" outlineLevel="0" max="18" min="18" style="1" width="12"/>
    <col collapsed="false" customWidth="true" hidden="false" outlineLevel="0" max="19" min="19" style="1" width="10"/>
    <col collapsed="false" customWidth="true" hidden="false" outlineLevel="0" max="20" min="20" style="1" width="12"/>
    <col collapsed="false" customWidth="true" hidden="false" outlineLevel="0" max="21" min="21" style="1" width="46"/>
    <col collapsed="false" customWidth="true" hidden="true" outlineLevel="1" max="22" min="22" style="1" width="11"/>
    <col collapsed="false" customWidth="true" hidden="true" outlineLevel="1" max="23" min="23" style="1" width="7"/>
    <col collapsed="false" customWidth="true" hidden="true" outlineLevel="1" max="27" min="24" style="1" width="2"/>
  </cols>
  <sheetData>
    <row r="1" customFormat="false" ht="30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4"/>
      <c r="Z1" s="4"/>
      <c r="AA1" s="4"/>
    </row>
    <row r="2" customFormat="false" ht="27.75" hidden="false" customHeight="true" outlineLevel="0" collapsed="false">
      <c r="A2" s="3" t="s">
        <v>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4"/>
      <c r="Z2" s="4"/>
      <c r="AA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27.75" hidden="false" customHeight="true" outlineLevel="0" collapsed="false">
      <c r="A4" s="10" t="s">
        <v>7</v>
      </c>
      <c r="B4" s="10" t="s">
        <v>79</v>
      </c>
      <c r="C4" s="10" t="s">
        <v>15</v>
      </c>
      <c r="D4" s="10" t="s">
        <v>80</v>
      </c>
      <c r="E4" s="10" t="s">
        <v>60</v>
      </c>
      <c r="F4" s="10" t="s">
        <v>12</v>
      </c>
      <c r="G4" s="10" t="s">
        <v>58</v>
      </c>
      <c r="H4" s="10" t="s">
        <v>81</v>
      </c>
      <c r="I4" s="10" t="s">
        <v>82</v>
      </c>
      <c r="J4" s="10" t="s">
        <v>54</v>
      </c>
      <c r="K4" s="10" t="s">
        <v>83</v>
      </c>
      <c r="L4" s="10" t="s">
        <v>84</v>
      </c>
      <c r="M4" s="10" t="s">
        <v>85</v>
      </c>
      <c r="N4" s="10" t="s">
        <v>86</v>
      </c>
      <c r="O4" s="10" t="s">
        <v>87</v>
      </c>
      <c r="P4" s="10" t="s">
        <v>88</v>
      </c>
      <c r="Q4" s="10" t="s">
        <v>89</v>
      </c>
      <c r="R4" s="10" t="s">
        <v>90</v>
      </c>
      <c r="S4" s="10" t="s">
        <v>20</v>
      </c>
      <c r="T4" s="10" t="s">
        <v>91</v>
      </c>
      <c r="U4" s="10" t="s">
        <v>92</v>
      </c>
      <c r="V4" s="10" t="s">
        <v>93</v>
      </c>
      <c r="W4" s="10" t="s">
        <v>94</v>
      </c>
      <c r="X4" s="4"/>
      <c r="Y4" s="4"/>
      <c r="Z4" s="4"/>
      <c r="AA4" s="4"/>
    </row>
    <row r="5" customFormat="false" ht="15" hidden="false" customHeight="false" outlineLevel="0" collapsed="false">
      <c r="A5" s="15" t="s">
        <v>95</v>
      </c>
      <c r="B5" s="16" t="n">
        <f aca="false">R5-N5</f>
        <v>7</v>
      </c>
      <c r="C5" s="15" t="str">
        <f aca="false">IF(B5&gt;=5,"SMASH BUY",IF(B5&gt;=2,"BUY",IF(B5&gt;=-1,"NEUTRAL",IF(B5&gt;=-4,"AVOID","DO NOT BID"))))</f>
        <v>SMASH BUY</v>
      </c>
      <c r="D5" s="15" t="str">
        <f aca="false">IF(COUNTIFS('Auction Log'!$B$5:$B$304,A5,'Auction Log'!$D$5:$D$304,"&lt;&gt;",'Auction Log'!$E$5:$E$304,"&gt;0")=0,"Available",IFERROR(INDEX('Auction Log'!$D$5:$D$304,MATCH(1,('Auction Log'!$B$5:$B$304=A5)*('Auction Log'!$D$5:$D$304&lt;&gt;"")*('Auction Log'!$E$5:$E$304&gt;0),0)),"SOLD"))</f>
        <v>Available</v>
      </c>
      <c r="E5" s="16" t="str">
        <f aca="false">IF(COUNTIFS('Auction Log'!$B$5:$B$304,A5,'Auction Log'!$D$5:$D$304,"&lt;&gt;",'Auction Log'!$E$5:$E$304,"&gt;0")=0,"",IFERROR(INDEX('Auction Log'!$E$5:$E$304,MATCH(1,('Auction Log'!$B$5:$B$304=A5)*('Auction Log'!$D$5:$D$304&lt;&gt;"")*('Auction Log'!$E$5:$E$304&gt;0),0)),""))</f>
        <v/>
      </c>
      <c r="F5" s="15" t="s">
        <v>96</v>
      </c>
      <c r="G5" s="15" t="s">
        <v>21</v>
      </c>
      <c r="H5" s="15" t="n">
        <v>6</v>
      </c>
      <c r="I5" s="15" t="n">
        <v>2</v>
      </c>
      <c r="J5" s="15" t="n">
        <v>1</v>
      </c>
      <c r="K5" s="34" t="n">
        <v>373</v>
      </c>
      <c r="L5" s="34" t="n">
        <v>365</v>
      </c>
      <c r="M5" s="16" t="n">
        <v>57</v>
      </c>
      <c r="N5" s="16" t="n">
        <v>59</v>
      </c>
      <c r="O5" s="16" t="n">
        <v>0</v>
      </c>
      <c r="P5" s="16" t="n">
        <v>3</v>
      </c>
      <c r="Q5" s="16" t="n">
        <v>0</v>
      </c>
      <c r="R5" s="16" t="n">
        <v>66</v>
      </c>
      <c r="S5" s="16" t="n">
        <v>62</v>
      </c>
      <c r="T5" s="15" t="s">
        <v>97</v>
      </c>
      <c r="U5" s="30"/>
      <c r="V5" s="16" t="str">
        <f aca="false">IF(E5="","",R5-E5)</f>
        <v/>
      </c>
      <c r="W5" s="15" t="s">
        <v>98</v>
      </c>
      <c r="X5" s="4" t="n">
        <f aca="false">IF(AND(D5="Available",R5&gt;=55),ROW(),9999)</f>
        <v>5</v>
      </c>
      <c r="Y5" s="4" t="n">
        <f aca="false">IF(AND(D5="Available",R5&gt;=40,R5&lt;55),ROW(),9999)</f>
        <v>9999</v>
      </c>
      <c r="Z5" s="4" t="n">
        <f aca="false">IF(AND(D5="Available",R5&gt;=25,R5&lt;40),ROW(),9999)</f>
        <v>9999</v>
      </c>
      <c r="AA5" s="35" t="n">
        <f aca="false">IF(K5="","",IF(L5="",K5,ROUND(AVERAGE(K5,L5),0)))</f>
        <v>369</v>
      </c>
    </row>
    <row r="6" customFormat="false" ht="15" hidden="false" customHeight="false" outlineLevel="0" collapsed="false">
      <c r="A6" s="18" t="s">
        <v>99</v>
      </c>
      <c r="B6" s="19" t="n">
        <f aca="false">R6-N6</f>
        <v>7</v>
      </c>
      <c r="C6" s="18" t="str">
        <f aca="false">IF(B6&gt;=5,"SMASH BUY",IF(B6&gt;=2,"BUY",IF(B6&gt;=-1,"NEUTRAL",IF(B6&gt;=-4,"AVOID","DO NOT BID"))))</f>
        <v>SMASH BUY</v>
      </c>
      <c r="D6" s="18" t="str">
        <f aca="false">IF(COUNTIFS('Auction Log'!$B$5:$B$304,A6,'Auction Log'!$D$5:$D$304,"&lt;&gt;",'Auction Log'!$E$5:$E$304,"&gt;0")=0,"Available",IFERROR(INDEX('Auction Log'!$D$5:$D$304,MATCH(1,('Auction Log'!$B$5:$B$304=A6)*('Auction Log'!$D$5:$D$304&lt;&gt;"")*('Auction Log'!$E$5:$E$304&gt;0),0)),"SOLD"))</f>
        <v>Available</v>
      </c>
      <c r="E6" s="19" t="str">
        <f aca="false">IF(COUNTIFS('Auction Log'!$B$5:$B$304,A6,'Auction Log'!$D$5:$D$304,"&lt;&gt;",'Auction Log'!$E$5:$E$304,"&gt;0")=0,"",IFERROR(INDEX('Auction Log'!$E$5:$E$304,MATCH(1,('Auction Log'!$B$5:$B$304=A6)*('Auction Log'!$D$5:$D$304&lt;&gt;"")*('Auction Log'!$E$5:$E$304&gt;0),0)),""))</f>
        <v/>
      </c>
      <c r="F6" s="18" t="s">
        <v>100</v>
      </c>
      <c r="G6" s="18" t="s">
        <v>26</v>
      </c>
      <c r="H6" s="18" t="n">
        <v>6</v>
      </c>
      <c r="I6" s="18" t="n">
        <v>1</v>
      </c>
      <c r="J6" s="18" t="n">
        <v>1</v>
      </c>
      <c r="K6" s="36" t="n">
        <v>336</v>
      </c>
      <c r="L6" s="36" t="n">
        <v>337</v>
      </c>
      <c r="M6" s="19" t="n">
        <v>56</v>
      </c>
      <c r="N6" s="19" t="n">
        <v>58</v>
      </c>
      <c r="O6" s="19" t="n">
        <v>0</v>
      </c>
      <c r="P6" s="19" t="n">
        <v>3</v>
      </c>
      <c r="Q6" s="19" t="n">
        <v>0</v>
      </c>
      <c r="R6" s="19" t="n">
        <v>65</v>
      </c>
      <c r="S6" s="19" t="n">
        <v>61</v>
      </c>
      <c r="T6" s="18" t="s">
        <v>97</v>
      </c>
      <c r="U6" s="32"/>
      <c r="V6" s="19" t="str">
        <f aca="false">IF(E6="","",R6-E6)</f>
        <v/>
      </c>
      <c r="W6" s="18" t="s">
        <v>98</v>
      </c>
      <c r="X6" s="4" t="n">
        <f aca="false">IF(AND(D6="Available",R6&gt;=55),ROW(),9999)</f>
        <v>6</v>
      </c>
      <c r="Y6" s="4" t="n">
        <f aca="false">IF(AND(D6="Available",R6&gt;=40,R6&lt;55),ROW(),9999)</f>
        <v>9999</v>
      </c>
      <c r="Z6" s="4" t="n">
        <f aca="false">IF(AND(D6="Available",R6&gt;=25,R6&lt;40),ROW(),9999)</f>
        <v>9999</v>
      </c>
      <c r="AA6" s="35" t="n">
        <f aca="false">IF(K6="","",IF(L6="",K6,ROUND(AVERAGE(K6,L6),0)))</f>
        <v>337</v>
      </c>
    </row>
    <row r="7" customFormat="false" ht="15" hidden="false" customHeight="false" outlineLevel="0" collapsed="false">
      <c r="A7" s="18" t="s">
        <v>101</v>
      </c>
      <c r="B7" s="19" t="n">
        <f aca="false">R7-N7</f>
        <v>7</v>
      </c>
      <c r="C7" s="18" t="str">
        <f aca="false">IF(B7&gt;=5,"SMASH BUY",IF(B7&gt;=2,"BUY",IF(B7&gt;=-1,"NEUTRAL",IF(B7&gt;=-4,"AVOID","DO NOT BID"))))</f>
        <v>SMASH BUY</v>
      </c>
      <c r="D7" s="18" t="str">
        <f aca="false">IF(COUNTIFS('Auction Log'!$B$5:$B$304,A7,'Auction Log'!$D$5:$D$304,"&lt;&gt;",'Auction Log'!$E$5:$E$304,"&gt;0")=0,"Available",IFERROR(INDEX('Auction Log'!$D$5:$D$304,MATCH(1,('Auction Log'!$B$5:$B$304=A7)*('Auction Log'!$D$5:$D$304&lt;&gt;"")*('Auction Log'!$E$5:$E$304&gt;0),0)),"SOLD"))</f>
        <v>Available</v>
      </c>
      <c r="E7" s="19" t="str">
        <f aca="false">IF(COUNTIFS('Auction Log'!$B$5:$B$304,A7,'Auction Log'!$D$5:$D$304,"&lt;&gt;",'Auction Log'!$E$5:$E$304,"&gt;0")=0,"",IFERROR(INDEX('Auction Log'!$E$5:$E$304,MATCH(1,('Auction Log'!$B$5:$B$304=A7)*('Auction Log'!$D$5:$D$304&lt;&gt;"")*('Auction Log'!$E$5:$E$304&gt;0),0)),""))</f>
        <v/>
      </c>
      <c r="F7" s="18" t="s">
        <v>102</v>
      </c>
      <c r="G7" s="18" t="s">
        <v>21</v>
      </c>
      <c r="H7" s="18" t="n">
        <v>11</v>
      </c>
      <c r="I7" s="18" t="n">
        <v>4</v>
      </c>
      <c r="J7" s="18" t="n">
        <v>1</v>
      </c>
      <c r="K7" s="36" t="n">
        <v>369</v>
      </c>
      <c r="L7" s="36" t="n">
        <v>353</v>
      </c>
      <c r="M7" s="19" t="n">
        <v>56</v>
      </c>
      <c r="N7" s="19" t="n">
        <v>58</v>
      </c>
      <c r="O7" s="19" t="n">
        <v>0</v>
      </c>
      <c r="P7" s="19" t="n">
        <v>3</v>
      </c>
      <c r="Q7" s="19" t="n">
        <v>0</v>
      </c>
      <c r="R7" s="19" t="n">
        <v>65</v>
      </c>
      <c r="S7" s="19" t="n">
        <v>61</v>
      </c>
      <c r="T7" s="18" t="s">
        <v>97</v>
      </c>
      <c r="U7" s="32"/>
      <c r="V7" s="19" t="str">
        <f aca="false">IF(E7="","",R7-E7)</f>
        <v/>
      </c>
      <c r="W7" s="18" t="s">
        <v>98</v>
      </c>
      <c r="X7" s="4" t="n">
        <f aca="false">IF(AND(D7="Available",R7&gt;=55),ROW(),9999)</f>
        <v>7</v>
      </c>
      <c r="Y7" s="4" t="n">
        <f aca="false">IF(AND(D7="Available",R7&gt;=40,R7&lt;55),ROW(),9999)</f>
        <v>9999</v>
      </c>
      <c r="Z7" s="4" t="n">
        <f aca="false">IF(AND(D7="Available",R7&gt;=25,R7&lt;40),ROW(),9999)</f>
        <v>9999</v>
      </c>
      <c r="AA7" s="35" t="n">
        <f aca="false">IF(K7="","",IF(L7="",K7,ROUND(AVERAGE(K7,L7),0)))</f>
        <v>361</v>
      </c>
    </row>
    <row r="8" customFormat="false" ht="15" hidden="false" customHeight="false" outlineLevel="0" collapsed="false">
      <c r="A8" s="18" t="s">
        <v>103</v>
      </c>
      <c r="B8" s="19" t="n">
        <f aca="false">R8-N8</f>
        <v>8</v>
      </c>
      <c r="C8" s="18" t="str">
        <f aca="false">IF(B8&gt;=5,"SMASH BUY",IF(B8&gt;=2,"BUY",IF(B8&gt;=-1,"NEUTRAL",IF(B8&gt;=-4,"AVOID","DO NOT BID"))))</f>
        <v>SMASH BUY</v>
      </c>
      <c r="D8" s="18" t="str">
        <f aca="false">IF(COUNTIFS('Auction Log'!$B$5:$B$304,A8,'Auction Log'!$D$5:$D$304,"&lt;&gt;",'Auction Log'!$E$5:$E$304,"&gt;0")=0,"Available",IFERROR(INDEX('Auction Log'!$D$5:$D$304,MATCH(1,('Auction Log'!$B$5:$B$304=A8)*('Auction Log'!$D$5:$D$304&lt;&gt;"")*('Auction Log'!$E$5:$E$304&gt;0),0)),"SOLD"))</f>
        <v>Available</v>
      </c>
      <c r="E8" s="19" t="str">
        <f aca="false">IF(COUNTIFS('Auction Log'!$B$5:$B$304,A8,'Auction Log'!$D$5:$D$304,"&lt;&gt;",'Auction Log'!$E$5:$E$304,"&gt;0")=0,"",IFERROR(INDEX('Auction Log'!$E$5:$E$304,MATCH(1,('Auction Log'!$B$5:$B$304=A8)*('Auction Log'!$D$5:$D$304&lt;&gt;"")*('Auction Log'!$E$5:$E$304&gt;0),0)),""))</f>
        <v/>
      </c>
      <c r="F8" s="18" t="s">
        <v>104</v>
      </c>
      <c r="G8" s="18" t="s">
        <v>26</v>
      </c>
      <c r="H8" s="18" t="n">
        <v>11</v>
      </c>
      <c r="I8" s="18" t="n">
        <v>5</v>
      </c>
      <c r="J8" s="18" t="n">
        <v>1</v>
      </c>
      <c r="K8" s="36" t="n">
        <v>326</v>
      </c>
      <c r="L8" s="36" t="n">
        <v>327</v>
      </c>
      <c r="M8" s="19" t="n">
        <v>54</v>
      </c>
      <c r="N8" s="19" t="n">
        <v>55</v>
      </c>
      <c r="O8" s="19" t="n">
        <v>0</v>
      </c>
      <c r="P8" s="19" t="n">
        <v>4</v>
      </c>
      <c r="Q8" s="19" t="n">
        <v>0</v>
      </c>
      <c r="R8" s="19" t="n">
        <v>63</v>
      </c>
      <c r="S8" s="19" t="n">
        <v>59</v>
      </c>
      <c r="T8" s="18" t="s">
        <v>97</v>
      </c>
      <c r="U8" s="32"/>
      <c r="V8" s="19" t="str">
        <f aca="false">IF(E8="","",R8-E8)</f>
        <v/>
      </c>
      <c r="W8" s="18" t="s">
        <v>98</v>
      </c>
      <c r="X8" s="4" t="n">
        <f aca="false">IF(AND(D8="Available",R8&gt;=55),ROW(),9999)</f>
        <v>8</v>
      </c>
      <c r="Y8" s="4" t="n">
        <f aca="false">IF(AND(D8="Available",R8&gt;=40,R8&lt;55),ROW(),9999)</f>
        <v>9999</v>
      </c>
      <c r="Z8" s="4" t="n">
        <f aca="false">IF(AND(D8="Available",R8&gt;=25,R8&lt;40),ROW(),9999)</f>
        <v>9999</v>
      </c>
      <c r="AA8" s="35" t="n">
        <f aca="false">IF(K8="","",IF(L8="",K8,ROUND(AVERAGE(K8,L8),0)))</f>
        <v>327</v>
      </c>
    </row>
    <row r="9" customFormat="false" ht="15" hidden="false" customHeight="false" outlineLevel="0" collapsed="false">
      <c r="A9" s="18" t="s">
        <v>105</v>
      </c>
      <c r="B9" s="19" t="n">
        <f aca="false">R9-N9</f>
        <v>3</v>
      </c>
      <c r="C9" s="18" t="str">
        <f aca="false">IF(B9&gt;=5,"SMASH BUY",IF(B9&gt;=2,"BUY",IF(B9&gt;=-1,"NEUTRAL",IF(B9&gt;=-4,"AVOID","DO NOT BID"))))</f>
        <v>BUY</v>
      </c>
      <c r="D9" s="18" t="str">
        <f aca="false">IF(COUNTIFS('Auction Log'!$B$5:$B$304,A9,'Auction Log'!$D$5:$D$304,"&lt;&gt;",'Auction Log'!$E$5:$E$304,"&gt;0")=0,"Available",IFERROR(INDEX('Auction Log'!$D$5:$D$304,MATCH(1,('Auction Log'!$B$5:$B$304=A9)*('Auction Log'!$D$5:$D$304&lt;&gt;"")*('Auction Log'!$E$5:$E$304&gt;0),0)),"SOLD"))</f>
        <v>Available</v>
      </c>
      <c r="E9" s="19" t="str">
        <f aca="false">IF(COUNTIFS('Auction Log'!$B$5:$B$304,A9,'Auction Log'!$D$5:$D$304,"&lt;&gt;",'Auction Log'!$E$5:$E$304,"&gt;0")=0,"",IFERROR(INDEX('Auction Log'!$E$5:$E$304,MATCH(1,('Auction Log'!$B$5:$B$304=A9)*('Auction Log'!$D$5:$D$304&lt;&gt;"")*('Auction Log'!$E$5:$E$304&gt;0),0)),""))</f>
        <v/>
      </c>
      <c r="F9" s="18" t="s">
        <v>106</v>
      </c>
      <c r="G9" s="18" t="s">
        <v>26</v>
      </c>
      <c r="H9" s="18" t="n">
        <v>11</v>
      </c>
      <c r="I9" s="18" t="n">
        <v>3</v>
      </c>
      <c r="J9" s="18" t="n">
        <v>1</v>
      </c>
      <c r="K9" s="36" t="n">
        <v>340</v>
      </c>
      <c r="L9" s="36" t="n">
        <v>356</v>
      </c>
      <c r="M9" s="19" t="n">
        <v>55</v>
      </c>
      <c r="N9" s="19" t="n">
        <v>59</v>
      </c>
      <c r="O9" s="19" t="n">
        <v>-1</v>
      </c>
      <c r="P9" s="19" t="n">
        <v>4</v>
      </c>
      <c r="Q9" s="19" t="n">
        <v>4</v>
      </c>
      <c r="R9" s="19" t="n">
        <v>62</v>
      </c>
      <c r="S9" s="19" t="n">
        <v>58</v>
      </c>
      <c r="T9" s="18" t="s">
        <v>107</v>
      </c>
      <c r="U9" s="32" t="s">
        <v>108</v>
      </c>
      <c r="V9" s="19" t="str">
        <f aca="false">IF(E9="","",R9-E9)</f>
        <v/>
      </c>
      <c r="W9" s="18" t="s">
        <v>98</v>
      </c>
      <c r="X9" s="4" t="n">
        <f aca="false">IF(AND(D9="Available",R9&gt;=55),ROW(),9999)</f>
        <v>9</v>
      </c>
      <c r="Y9" s="4" t="n">
        <f aca="false">IF(AND(D9="Available",R9&gt;=40,R9&lt;55),ROW(),9999)</f>
        <v>9999</v>
      </c>
      <c r="Z9" s="4" t="n">
        <f aca="false">IF(AND(D9="Available",R9&gt;=25,R9&lt;40),ROW(),9999)</f>
        <v>9999</v>
      </c>
      <c r="AA9" s="35" t="n">
        <f aca="false">IF(K9="","",IF(L9="",K9,ROUND(AVERAGE(K9,L9),0)))</f>
        <v>348</v>
      </c>
    </row>
    <row r="10" customFormat="false" ht="15" hidden="false" customHeight="false" outlineLevel="0" collapsed="false">
      <c r="A10" s="18" t="s">
        <v>109</v>
      </c>
      <c r="B10" s="19" t="n">
        <f aca="false">R10-N10</f>
        <v>7</v>
      </c>
      <c r="C10" s="18" t="str">
        <f aca="false">IF(B10&gt;=5,"SMASH BUY",IF(B10&gt;=2,"BUY",IF(B10&gt;=-1,"NEUTRAL",IF(B10&gt;=-4,"AVOID","DO NOT BID"))))</f>
        <v>SMASH BUY</v>
      </c>
      <c r="D10" s="18" t="str">
        <f aca="false">IF(COUNTIFS('Auction Log'!$B$5:$B$304,A10,'Auction Log'!$D$5:$D$304,"&lt;&gt;",'Auction Log'!$E$5:$E$304,"&gt;0")=0,"Available",IFERROR(INDEX('Auction Log'!$D$5:$D$304,MATCH(1,('Auction Log'!$B$5:$B$304=A10)*('Auction Log'!$D$5:$D$304&lt;&gt;"")*('Auction Log'!$E$5:$E$304&gt;0),0)),"SOLD"))</f>
        <v>Available</v>
      </c>
      <c r="E10" s="19" t="str">
        <f aca="false">IF(COUNTIFS('Auction Log'!$B$5:$B$304,A10,'Auction Log'!$D$5:$D$304,"&lt;&gt;",'Auction Log'!$E$5:$E$304,"&gt;0")=0,"",IFERROR(INDEX('Auction Log'!$E$5:$E$304,MATCH(1,('Auction Log'!$B$5:$B$304=A10)*('Auction Log'!$D$5:$D$304&lt;&gt;"")*('Auction Log'!$E$5:$E$304&gt;0),0)),""))</f>
        <v/>
      </c>
      <c r="F10" s="18" t="s">
        <v>96</v>
      </c>
      <c r="G10" s="18" t="s">
        <v>26</v>
      </c>
      <c r="H10" s="18" t="n">
        <v>6</v>
      </c>
      <c r="I10" s="18" t="n">
        <v>6</v>
      </c>
      <c r="J10" s="18" t="n">
        <v>1</v>
      </c>
      <c r="K10" s="36" t="n">
        <v>320</v>
      </c>
      <c r="L10" s="36" t="n">
        <v>324</v>
      </c>
      <c r="M10" s="19" t="n">
        <v>52</v>
      </c>
      <c r="N10" s="19" t="n">
        <v>53</v>
      </c>
      <c r="O10" s="19" t="n">
        <v>0</v>
      </c>
      <c r="P10" s="19" t="n">
        <v>3</v>
      </c>
      <c r="Q10" s="19" t="n">
        <v>0</v>
      </c>
      <c r="R10" s="19" t="n">
        <v>60</v>
      </c>
      <c r="S10" s="19" t="n">
        <v>56</v>
      </c>
      <c r="T10" s="18" t="s">
        <v>97</v>
      </c>
      <c r="U10" s="32"/>
      <c r="V10" s="19" t="str">
        <f aca="false">IF(E10="","",R10-E10)</f>
        <v/>
      </c>
      <c r="W10" s="18" t="s">
        <v>98</v>
      </c>
      <c r="X10" s="4" t="n">
        <f aca="false">IF(AND(D10="Available",R10&gt;=55),ROW(),9999)</f>
        <v>10</v>
      </c>
      <c r="Y10" s="4" t="n">
        <f aca="false">IF(AND(D10="Available",R10&gt;=40,R10&lt;55),ROW(),9999)</f>
        <v>9999</v>
      </c>
      <c r="Z10" s="4" t="n">
        <f aca="false">IF(AND(D10="Available",R10&gt;=25,R10&lt;40),ROW(),9999)</f>
        <v>9999</v>
      </c>
      <c r="AA10" s="35" t="n">
        <f aca="false">IF(K10="","",IF(L10="",K10,ROUND(AVERAGE(K10,L10),0)))</f>
        <v>322</v>
      </c>
    </row>
    <row r="11" customFormat="false" ht="15" hidden="false" customHeight="false" outlineLevel="0" collapsed="false">
      <c r="A11" s="18" t="s">
        <v>110</v>
      </c>
      <c r="B11" s="19" t="n">
        <f aca="false">R11-N11</f>
        <v>7</v>
      </c>
      <c r="C11" s="18" t="str">
        <f aca="false">IF(B11&gt;=5,"SMASH BUY",IF(B11&gt;=2,"BUY",IF(B11&gt;=-1,"NEUTRAL",IF(B11&gt;=-4,"AVOID","DO NOT BID"))))</f>
        <v>SMASH BUY</v>
      </c>
      <c r="D11" s="18" t="str">
        <f aca="false">IF(COUNTIFS('Auction Log'!$B$5:$B$304,A11,'Auction Log'!$D$5:$D$304,"&lt;&gt;",'Auction Log'!$E$5:$E$304,"&gt;0")=0,"Available",IFERROR(INDEX('Auction Log'!$D$5:$D$304,MATCH(1,('Auction Log'!$B$5:$B$304=A11)*('Auction Log'!$D$5:$D$304&lt;&gt;"")*('Auction Log'!$E$5:$E$304&gt;0),0)),"SOLD"))</f>
        <v>Available</v>
      </c>
      <c r="E11" s="19" t="str">
        <f aca="false">IF(COUNTIFS('Auction Log'!$B$5:$B$304,A11,'Auction Log'!$D$5:$D$304,"&lt;&gt;",'Auction Log'!$E$5:$E$304,"&gt;0")=0,"",IFERROR(INDEX('Auction Log'!$E$5:$E$304,MATCH(1,('Auction Log'!$B$5:$B$304=A11)*('Auction Log'!$D$5:$D$304&lt;&gt;"")*('Auction Log'!$E$5:$E$304&gt;0),0)),""))</f>
        <v/>
      </c>
      <c r="F11" s="18" t="s">
        <v>111</v>
      </c>
      <c r="G11" s="18" t="s">
        <v>21</v>
      </c>
      <c r="H11" s="18" t="n">
        <v>8</v>
      </c>
      <c r="I11" s="18" t="n">
        <v>9</v>
      </c>
      <c r="J11" s="18" t="n">
        <v>2</v>
      </c>
      <c r="K11" s="36" t="n">
        <v>335</v>
      </c>
      <c r="L11" s="36" t="n">
        <v>343</v>
      </c>
      <c r="M11" s="19" t="n">
        <v>53</v>
      </c>
      <c r="N11" s="19" t="n">
        <v>49</v>
      </c>
      <c r="O11" s="19" t="n">
        <v>1</v>
      </c>
      <c r="P11" s="19" t="n">
        <v>2</v>
      </c>
      <c r="Q11" s="19" t="n">
        <v>0</v>
      </c>
      <c r="R11" s="19" t="n">
        <v>56</v>
      </c>
      <c r="S11" s="19" t="n">
        <v>52</v>
      </c>
      <c r="T11" s="18" t="s">
        <v>97</v>
      </c>
      <c r="U11" s="32"/>
      <c r="V11" s="19" t="str">
        <f aca="false">IF(E11="","",R11-E11)</f>
        <v/>
      </c>
      <c r="W11" s="18" t="s">
        <v>98</v>
      </c>
      <c r="X11" s="4" t="n">
        <f aca="false">IF(AND(D11="Available",R11&gt;=55),ROW(),9999)</f>
        <v>11</v>
      </c>
      <c r="Y11" s="4" t="n">
        <f aca="false">IF(AND(D11="Available",R11&gt;=40,R11&lt;55),ROW(),9999)</f>
        <v>9999</v>
      </c>
      <c r="Z11" s="4" t="n">
        <f aca="false">IF(AND(D11="Available",R11&gt;=25,R11&lt;40),ROW(),9999)</f>
        <v>9999</v>
      </c>
      <c r="AA11" s="35" t="n">
        <f aca="false">IF(K11="","",IF(L11="",K11,ROUND(AVERAGE(K11,L11),0)))</f>
        <v>339</v>
      </c>
    </row>
    <row r="12" customFormat="false" ht="15" hidden="false" customHeight="false" outlineLevel="0" collapsed="false">
      <c r="A12" s="18" t="s">
        <v>112</v>
      </c>
      <c r="B12" s="19" t="n">
        <f aca="false">R12-N12</f>
        <v>8</v>
      </c>
      <c r="C12" s="18" t="str">
        <f aca="false">IF(B12&gt;=5,"SMASH BUY",IF(B12&gt;=2,"BUY",IF(B12&gt;=-1,"NEUTRAL",IF(B12&gt;=-4,"AVOID","DO NOT BID"))))</f>
        <v>SMASH BUY</v>
      </c>
      <c r="D12" s="18" t="str">
        <f aca="false">IF(COUNTIFS('Auction Log'!$B$5:$B$304,A12,'Auction Log'!$D$5:$D$304,"&lt;&gt;",'Auction Log'!$E$5:$E$304,"&gt;0")=0,"Available",IFERROR(INDEX('Auction Log'!$D$5:$D$304,MATCH(1,('Auction Log'!$B$5:$B$304=A12)*('Auction Log'!$D$5:$D$304&lt;&gt;"")*('Auction Log'!$E$5:$E$304&gt;0),0)),"SOLD"))</f>
        <v>Available</v>
      </c>
      <c r="E12" s="19" t="str">
        <f aca="false">IF(COUNTIFS('Auction Log'!$B$5:$B$304,A12,'Auction Log'!$D$5:$D$304,"&lt;&gt;",'Auction Log'!$E$5:$E$304,"&gt;0")=0,"",IFERROR(INDEX('Auction Log'!$E$5:$E$304,MATCH(1,('Auction Log'!$B$5:$B$304=A12)*('Auction Log'!$D$5:$D$304&lt;&gt;"")*('Auction Log'!$E$5:$E$304&gt;0),0)),""))</f>
        <v/>
      </c>
      <c r="F12" s="18" t="s">
        <v>113</v>
      </c>
      <c r="G12" s="18" t="s">
        <v>21</v>
      </c>
      <c r="H12" s="18" t="n">
        <v>13</v>
      </c>
      <c r="I12" s="18" t="n">
        <v>10</v>
      </c>
      <c r="J12" s="18" t="n">
        <v>2</v>
      </c>
      <c r="K12" s="36" t="n">
        <v>310</v>
      </c>
      <c r="L12" s="36" t="n">
        <v>316</v>
      </c>
      <c r="M12" s="19" t="n">
        <v>52</v>
      </c>
      <c r="N12" s="19" t="n">
        <v>43</v>
      </c>
      <c r="O12" s="19" t="n">
        <v>2</v>
      </c>
      <c r="P12" s="19" t="n">
        <v>3</v>
      </c>
      <c r="Q12" s="19" t="n">
        <v>0</v>
      </c>
      <c r="R12" s="19" t="n">
        <v>51</v>
      </c>
      <c r="S12" s="19" t="n">
        <v>47</v>
      </c>
      <c r="T12" s="18" t="s">
        <v>97</v>
      </c>
      <c r="U12" s="32"/>
      <c r="V12" s="19" t="str">
        <f aca="false">IF(E12="","",R12-E12)</f>
        <v/>
      </c>
      <c r="W12" s="18" t="s">
        <v>98</v>
      </c>
      <c r="X12" s="4" t="n">
        <f aca="false">IF(AND(D12="Available",R12&gt;=55),ROW(),9999)</f>
        <v>9999</v>
      </c>
      <c r="Y12" s="4" t="n">
        <f aca="false">IF(AND(D12="Available",R12&gt;=40,R12&lt;55),ROW(),9999)</f>
        <v>12</v>
      </c>
      <c r="Z12" s="4" t="n">
        <f aca="false">IF(AND(D12="Available",R12&gt;=25,R12&lt;40),ROW(),9999)</f>
        <v>9999</v>
      </c>
      <c r="AA12" s="35" t="n">
        <f aca="false">IF(K12="","",IF(L12="",K12,ROUND(AVERAGE(K12,L12),0)))</f>
        <v>313</v>
      </c>
    </row>
    <row r="13" customFormat="false" ht="15" hidden="false" customHeight="false" outlineLevel="0" collapsed="false">
      <c r="A13" s="18" t="s">
        <v>114</v>
      </c>
      <c r="B13" s="19" t="n">
        <f aca="false">R13-N13</f>
        <v>9</v>
      </c>
      <c r="C13" s="18" t="str">
        <f aca="false">IF(B13&gt;=5,"SMASH BUY",IF(B13&gt;=2,"BUY",IF(B13&gt;=-1,"NEUTRAL",IF(B13&gt;=-4,"AVOID","DO NOT BID"))))</f>
        <v>SMASH BUY</v>
      </c>
      <c r="D13" s="18" t="str">
        <f aca="false">IF(COUNTIFS('Auction Log'!$B$5:$B$304,A13,'Auction Log'!$D$5:$D$304,"&lt;&gt;",'Auction Log'!$E$5:$E$304,"&gt;0")=0,"Available",IFERROR(INDEX('Auction Log'!$D$5:$D$304,MATCH(1,('Auction Log'!$B$5:$B$304=A13)*('Auction Log'!$D$5:$D$304&lt;&gt;"")*('Auction Log'!$E$5:$E$304&gt;0),0)),"SOLD"))</f>
        <v>Available</v>
      </c>
      <c r="E13" s="19" t="str">
        <f aca="false">IF(COUNTIFS('Auction Log'!$B$5:$B$304,A13,'Auction Log'!$D$5:$D$304,"&lt;&gt;",'Auction Log'!$E$5:$E$304,"&gt;0")=0,"",IFERROR(INDEX('Auction Log'!$E$5:$E$304,MATCH(1,('Auction Log'!$B$5:$B$304=A13)*('Auction Log'!$D$5:$D$304&lt;&gt;"")*('Auction Log'!$E$5:$E$304&gt;0),0)),""))</f>
        <v/>
      </c>
      <c r="F13" s="18" t="s">
        <v>115</v>
      </c>
      <c r="G13" s="18" t="s">
        <v>26</v>
      </c>
      <c r="H13" s="18" t="n">
        <v>14</v>
      </c>
      <c r="I13" s="18" t="n">
        <v>7</v>
      </c>
      <c r="J13" s="18" t="n">
        <v>2</v>
      </c>
      <c r="K13" s="36" t="n">
        <v>273</v>
      </c>
      <c r="L13" s="36" t="n">
        <v>293</v>
      </c>
      <c r="M13" s="19" t="n">
        <v>51</v>
      </c>
      <c r="N13" s="19" t="n">
        <v>39</v>
      </c>
      <c r="O13" s="19" t="n">
        <v>3</v>
      </c>
      <c r="P13" s="19" t="n">
        <v>3</v>
      </c>
      <c r="Q13" s="19" t="n">
        <v>0</v>
      </c>
      <c r="R13" s="19" t="n">
        <v>48</v>
      </c>
      <c r="S13" s="19" t="n">
        <v>44</v>
      </c>
      <c r="T13" s="18" t="s">
        <v>97</v>
      </c>
      <c r="U13" s="32"/>
      <c r="V13" s="19" t="str">
        <f aca="false">IF(E13="","",R13-E13)</f>
        <v/>
      </c>
      <c r="W13" s="18" t="s">
        <v>98</v>
      </c>
      <c r="X13" s="4" t="n">
        <f aca="false">IF(AND(D13="Available",R13&gt;=55),ROW(),9999)</f>
        <v>9999</v>
      </c>
      <c r="Y13" s="4" t="n">
        <f aca="false">IF(AND(D13="Available",R13&gt;=40,R13&lt;55),ROW(),9999)</f>
        <v>13</v>
      </c>
      <c r="Z13" s="4" t="n">
        <f aca="false">IF(AND(D13="Available",R13&gt;=25,R13&lt;40),ROW(),9999)</f>
        <v>9999</v>
      </c>
      <c r="AA13" s="35" t="n">
        <f aca="false">IF(K13="","",IF(L13="",K13,ROUND(AVERAGE(K13,L13),0)))</f>
        <v>283</v>
      </c>
    </row>
    <row r="14" customFormat="false" ht="15" hidden="false" customHeight="false" outlineLevel="0" collapsed="false">
      <c r="A14" s="18" t="s">
        <v>116</v>
      </c>
      <c r="B14" s="19" t="n">
        <f aca="false">R14-N14</f>
        <v>5</v>
      </c>
      <c r="C14" s="18" t="str">
        <f aca="false">IF(B14&gt;=5,"SMASH BUY",IF(B14&gt;=2,"BUY",IF(B14&gt;=-1,"NEUTRAL",IF(B14&gt;=-4,"AVOID","DO NOT BID"))))</f>
        <v>SMASH BUY</v>
      </c>
      <c r="D14" s="18" t="str">
        <f aca="false">IF(COUNTIFS('Auction Log'!$B$5:$B$304,A14,'Auction Log'!$D$5:$D$304,"&lt;&gt;",'Auction Log'!$E$5:$E$304,"&gt;0")=0,"Available",IFERROR(INDEX('Auction Log'!$D$5:$D$304,MATCH(1,('Auction Log'!$B$5:$B$304=A14)*('Auction Log'!$D$5:$D$304&lt;&gt;"")*('Auction Log'!$E$5:$E$304&gt;0),0)),"SOLD"))</f>
        <v>Available</v>
      </c>
      <c r="E14" s="19" t="str">
        <f aca="false">IF(COUNTIFS('Auction Log'!$B$5:$B$304,A14,'Auction Log'!$D$5:$D$304,"&lt;&gt;",'Auction Log'!$E$5:$E$304,"&gt;0")=0,"",IFERROR(INDEX('Auction Log'!$E$5:$E$304,MATCH(1,('Auction Log'!$B$5:$B$304=A14)*('Auction Log'!$D$5:$D$304&lt;&gt;"")*('Auction Log'!$E$5:$E$304&gt;0),0)),""))</f>
        <v/>
      </c>
      <c r="F14" s="18" t="s">
        <v>102</v>
      </c>
      <c r="G14" s="18" t="s">
        <v>26</v>
      </c>
      <c r="H14" s="18" t="n">
        <v>11</v>
      </c>
      <c r="I14" s="18" t="n">
        <v>11</v>
      </c>
      <c r="J14" s="18" t="n">
        <v>2</v>
      </c>
      <c r="K14" s="36" t="n">
        <v>287</v>
      </c>
      <c r="L14" s="36" t="n">
        <v>270</v>
      </c>
      <c r="M14" s="19" t="n">
        <v>43</v>
      </c>
      <c r="N14" s="19" t="n">
        <v>43</v>
      </c>
      <c r="O14" s="19" t="n">
        <v>0</v>
      </c>
      <c r="P14" s="19" t="n">
        <v>2</v>
      </c>
      <c r="Q14" s="19" t="n">
        <v>0</v>
      </c>
      <c r="R14" s="19" t="n">
        <v>48</v>
      </c>
      <c r="S14" s="19" t="n">
        <v>44</v>
      </c>
      <c r="T14" s="18" t="s">
        <v>97</v>
      </c>
      <c r="U14" s="32"/>
      <c r="V14" s="19" t="str">
        <f aca="false">IF(E14="","",R14-E14)</f>
        <v/>
      </c>
      <c r="W14" s="18" t="s">
        <v>98</v>
      </c>
      <c r="X14" s="4" t="n">
        <f aca="false">IF(AND(D14="Available",R14&gt;=55),ROW(),9999)</f>
        <v>9999</v>
      </c>
      <c r="Y14" s="4" t="n">
        <f aca="false">IF(AND(D14="Available",R14&gt;=40,R14&lt;55),ROW(),9999)</f>
        <v>14</v>
      </c>
      <c r="Z14" s="4" t="n">
        <f aca="false">IF(AND(D14="Available",R14&gt;=25,R14&lt;40),ROW(),9999)</f>
        <v>9999</v>
      </c>
      <c r="AA14" s="35" t="n">
        <f aca="false">IF(K14="","",IF(L14="",K14,ROUND(AVERAGE(K14,L14),0)))</f>
        <v>279</v>
      </c>
    </row>
    <row r="15" customFormat="false" ht="15" hidden="false" customHeight="false" outlineLevel="0" collapsed="false">
      <c r="A15" s="18" t="s">
        <v>117</v>
      </c>
      <c r="B15" s="19" t="n">
        <f aca="false">R15-N15</f>
        <v>7</v>
      </c>
      <c r="C15" s="18" t="str">
        <f aca="false">IF(B15&gt;=5,"SMASH BUY",IF(B15&gt;=2,"BUY",IF(B15&gt;=-1,"NEUTRAL",IF(B15&gt;=-4,"AVOID","DO NOT BID"))))</f>
        <v>SMASH BUY</v>
      </c>
      <c r="D15" s="18" t="str">
        <f aca="false">IF(COUNTIFS('Auction Log'!$B$5:$B$304,A15,'Auction Log'!$D$5:$D$304,"&lt;&gt;",'Auction Log'!$E$5:$E$304,"&gt;0")=0,"Available",IFERROR(INDEX('Auction Log'!$D$5:$D$304,MATCH(1,('Auction Log'!$B$5:$B$304=A15)*('Auction Log'!$D$5:$D$304&lt;&gt;"")*('Auction Log'!$E$5:$E$304&gt;0),0)),"SOLD"))</f>
        <v>Available</v>
      </c>
      <c r="E15" s="19" t="str">
        <f aca="false">IF(COUNTIFS('Auction Log'!$B$5:$B$304,A15,'Auction Log'!$D$5:$D$304,"&lt;&gt;",'Auction Log'!$E$5:$E$304,"&gt;0")=0,"",IFERROR(INDEX('Auction Log'!$E$5:$E$304,MATCH(1,('Auction Log'!$B$5:$B$304=A15)*('Auction Log'!$D$5:$D$304&lt;&gt;"")*('Auction Log'!$E$5:$E$304&gt;0),0)),""))</f>
        <v/>
      </c>
      <c r="F15" s="18" t="s">
        <v>118</v>
      </c>
      <c r="G15" s="18" t="s">
        <v>26</v>
      </c>
      <c r="H15" s="18" t="n">
        <v>6</v>
      </c>
      <c r="I15" s="18" t="n">
        <v>8</v>
      </c>
      <c r="J15" s="18" t="n">
        <v>2</v>
      </c>
      <c r="K15" s="36" t="n">
        <v>272</v>
      </c>
      <c r="L15" s="36" t="n">
        <v>294</v>
      </c>
      <c r="M15" s="19" t="n">
        <v>48</v>
      </c>
      <c r="N15" s="19" t="n">
        <v>39</v>
      </c>
      <c r="O15" s="19" t="n">
        <v>2</v>
      </c>
      <c r="P15" s="19" t="n">
        <v>2</v>
      </c>
      <c r="Q15" s="19" t="n">
        <v>0</v>
      </c>
      <c r="R15" s="19" t="n">
        <v>46</v>
      </c>
      <c r="S15" s="19" t="n">
        <v>42</v>
      </c>
      <c r="T15" s="18" t="s">
        <v>97</v>
      </c>
      <c r="U15" s="32"/>
      <c r="V15" s="19" t="str">
        <f aca="false">IF(E15="","",R15-E15)</f>
        <v/>
      </c>
      <c r="W15" s="18" t="s">
        <v>98</v>
      </c>
      <c r="X15" s="4" t="n">
        <f aca="false">IF(AND(D15="Available",R15&gt;=55),ROW(),9999)</f>
        <v>9999</v>
      </c>
      <c r="Y15" s="4" t="n">
        <f aca="false">IF(AND(D15="Available",R15&gt;=40,R15&lt;55),ROW(),9999)</f>
        <v>15</v>
      </c>
      <c r="Z15" s="4" t="n">
        <f aca="false">IF(AND(D15="Available",R15&gt;=25,R15&lt;40),ROW(),9999)</f>
        <v>9999</v>
      </c>
      <c r="AA15" s="35" t="n">
        <f aca="false">IF(K15="","",IF(L15="",K15,ROUND(AVERAGE(K15,L15),0)))</f>
        <v>283</v>
      </c>
    </row>
    <row r="16" customFormat="false" ht="15" hidden="false" customHeight="false" outlineLevel="0" collapsed="false">
      <c r="A16" s="18" t="s">
        <v>119</v>
      </c>
      <c r="B16" s="19" t="n">
        <f aca="false">R16-N16</f>
        <v>6</v>
      </c>
      <c r="C16" s="18" t="str">
        <f aca="false">IF(B16&gt;=5,"SMASH BUY",IF(B16&gt;=2,"BUY",IF(B16&gt;=-1,"NEUTRAL",IF(B16&gt;=-4,"AVOID","DO NOT BID"))))</f>
        <v>SMASH BUY</v>
      </c>
      <c r="D16" s="18" t="str">
        <f aca="false">IF(COUNTIFS('Auction Log'!$B$5:$B$304,A16,'Auction Log'!$D$5:$D$304,"&lt;&gt;",'Auction Log'!$E$5:$E$304,"&gt;0")=0,"Available",IFERROR(INDEX('Auction Log'!$D$5:$D$304,MATCH(1,('Auction Log'!$B$5:$B$304=A16)*('Auction Log'!$D$5:$D$304&lt;&gt;"")*('Auction Log'!$E$5:$E$304&gt;0),0)),"SOLD"))</f>
        <v>Available</v>
      </c>
      <c r="E16" s="19" t="str">
        <f aca="false">IF(COUNTIFS('Auction Log'!$B$5:$B$304,A16,'Auction Log'!$D$5:$D$304,"&lt;&gt;",'Auction Log'!$E$5:$E$304,"&gt;0")=0,"",IFERROR(INDEX('Auction Log'!$E$5:$E$304,MATCH(1,('Auction Log'!$B$5:$B$304=A16)*('Auction Log'!$D$5:$D$304&lt;&gt;"")*('Auction Log'!$E$5:$E$304&gt;0),0)),""))</f>
        <v/>
      </c>
      <c r="F16" s="18" t="s">
        <v>120</v>
      </c>
      <c r="G16" s="18" t="s">
        <v>21</v>
      </c>
      <c r="H16" s="18" t="n">
        <v>6</v>
      </c>
      <c r="I16" s="18" t="n">
        <v>19</v>
      </c>
      <c r="J16" s="18" t="n">
        <v>3</v>
      </c>
      <c r="K16" s="36" t="n">
        <v>292</v>
      </c>
      <c r="L16" s="36" t="n">
        <v>293</v>
      </c>
      <c r="M16" s="19" t="n">
        <v>50</v>
      </c>
      <c r="N16" s="19" t="n">
        <v>39</v>
      </c>
      <c r="O16" s="19" t="n">
        <v>1</v>
      </c>
      <c r="P16" s="19" t="n">
        <v>2</v>
      </c>
      <c r="Q16" s="19" t="n">
        <v>0</v>
      </c>
      <c r="R16" s="19" t="n">
        <v>45</v>
      </c>
      <c r="S16" s="19" t="n">
        <v>41</v>
      </c>
      <c r="T16" s="18" t="s">
        <v>97</v>
      </c>
      <c r="U16" s="32"/>
      <c r="V16" s="19" t="str">
        <f aca="false">IF(E16="","",R16-E16)</f>
        <v/>
      </c>
      <c r="W16" s="18" t="s">
        <v>98</v>
      </c>
      <c r="X16" s="4" t="n">
        <f aca="false">IF(AND(D16="Available",R16&gt;=55),ROW(),9999)</f>
        <v>9999</v>
      </c>
      <c r="Y16" s="4" t="n">
        <f aca="false">IF(AND(D16="Available",R16&gt;=40,R16&lt;55),ROW(),9999)</f>
        <v>16</v>
      </c>
      <c r="Z16" s="4" t="n">
        <f aca="false">IF(AND(D16="Available",R16&gt;=25,R16&lt;40),ROW(),9999)</f>
        <v>9999</v>
      </c>
      <c r="AA16" s="35" t="n">
        <f aca="false">IF(K16="","",IF(L16="",K16,ROUND(AVERAGE(K16,L16),0)))</f>
        <v>293</v>
      </c>
    </row>
    <row r="17" customFormat="false" ht="15" hidden="false" customHeight="false" outlineLevel="0" collapsed="false">
      <c r="A17" s="18" t="s">
        <v>121</v>
      </c>
      <c r="B17" s="19" t="n">
        <f aca="false">R17-N17</f>
        <v>8</v>
      </c>
      <c r="C17" s="18" t="str">
        <f aca="false">IF(B17&gt;=5,"SMASH BUY",IF(B17&gt;=2,"BUY",IF(B17&gt;=-1,"NEUTRAL",IF(B17&gt;=-4,"AVOID","DO NOT BID"))))</f>
        <v>SMASH BUY</v>
      </c>
      <c r="D17" s="18" t="str">
        <f aca="false">IF(COUNTIFS('Auction Log'!$B$5:$B$304,A17,'Auction Log'!$D$5:$D$304,"&lt;&gt;",'Auction Log'!$E$5:$E$304,"&gt;0")=0,"Available",IFERROR(INDEX('Auction Log'!$D$5:$D$304,MATCH(1,('Auction Log'!$B$5:$B$304=A17)*('Auction Log'!$D$5:$D$304&lt;&gt;"")*('Auction Log'!$E$5:$E$304&gt;0),0)),"SOLD"))</f>
        <v>Available</v>
      </c>
      <c r="E17" s="19" t="str">
        <f aca="false">IF(COUNTIFS('Auction Log'!$B$5:$B$304,A17,'Auction Log'!$D$5:$D$304,"&lt;&gt;",'Auction Log'!$E$5:$E$304,"&gt;0")=0,"",IFERROR(INDEX('Auction Log'!$E$5:$E$304,MATCH(1,('Auction Log'!$B$5:$B$304=A17)*('Auction Log'!$D$5:$D$304&lt;&gt;"")*('Auction Log'!$E$5:$E$304&gt;0),0)),""))</f>
        <v/>
      </c>
      <c r="F17" s="18" t="s">
        <v>122</v>
      </c>
      <c r="G17" s="18" t="s">
        <v>21</v>
      </c>
      <c r="H17" s="18" t="n">
        <v>7</v>
      </c>
      <c r="I17" s="18" t="n">
        <v>14</v>
      </c>
      <c r="J17" s="18" t="n">
        <v>3</v>
      </c>
      <c r="K17" s="36" t="n">
        <v>271</v>
      </c>
      <c r="L17" s="36" t="n">
        <v>280</v>
      </c>
      <c r="M17" s="19" t="n">
        <v>46</v>
      </c>
      <c r="N17" s="19" t="n">
        <v>34</v>
      </c>
      <c r="O17" s="19" t="n">
        <v>3</v>
      </c>
      <c r="P17" s="19" t="n">
        <v>3</v>
      </c>
      <c r="Q17" s="19" t="n">
        <v>0</v>
      </c>
      <c r="R17" s="19" t="n">
        <v>42</v>
      </c>
      <c r="S17" s="19" t="n">
        <v>39</v>
      </c>
      <c r="T17" s="18" t="s">
        <v>97</v>
      </c>
      <c r="U17" s="32"/>
      <c r="V17" s="19" t="str">
        <f aca="false">IF(E17="","",R17-E17)</f>
        <v/>
      </c>
      <c r="W17" s="18" t="s">
        <v>98</v>
      </c>
      <c r="X17" s="4" t="n">
        <f aca="false">IF(AND(D17="Available",R17&gt;=55),ROW(),9999)</f>
        <v>9999</v>
      </c>
      <c r="Y17" s="4" t="n">
        <f aca="false">IF(AND(D17="Available",R17&gt;=40,R17&lt;55),ROW(),9999)</f>
        <v>17</v>
      </c>
      <c r="Z17" s="4" t="n">
        <f aca="false">IF(AND(D17="Available",R17&gt;=25,R17&lt;40),ROW(),9999)</f>
        <v>9999</v>
      </c>
      <c r="AA17" s="35" t="n">
        <f aca="false">IF(K17="","",IF(L17="",K17,ROUND(AVERAGE(K17,L17),0)))</f>
        <v>276</v>
      </c>
    </row>
    <row r="18" customFormat="false" ht="15" hidden="false" customHeight="false" outlineLevel="0" collapsed="false">
      <c r="A18" s="18" t="s">
        <v>123</v>
      </c>
      <c r="B18" s="19" t="n">
        <f aca="false">R18-N18</f>
        <v>2</v>
      </c>
      <c r="C18" s="18" t="str">
        <f aca="false">IF(B18&gt;=5,"SMASH BUY",IF(B18&gt;=2,"BUY",IF(B18&gt;=-1,"NEUTRAL",IF(B18&gt;=-4,"AVOID","DO NOT BID"))))</f>
        <v>BUY</v>
      </c>
      <c r="D18" s="18" t="str">
        <f aca="false">IF(COUNTIFS('Auction Log'!$B$5:$B$304,A18,'Auction Log'!$D$5:$D$304,"&lt;&gt;",'Auction Log'!$E$5:$E$304,"&gt;0")=0,"Available",IFERROR(INDEX('Auction Log'!$D$5:$D$304,MATCH(1,('Auction Log'!$B$5:$B$304=A18)*('Auction Log'!$D$5:$D$304&lt;&gt;"")*('Auction Log'!$E$5:$E$304&gt;0),0)),"SOLD"))</f>
        <v>Available</v>
      </c>
      <c r="E18" s="19" t="str">
        <f aca="false">IF(COUNTIFS('Auction Log'!$B$5:$B$304,A18,'Auction Log'!$D$5:$D$304,"&lt;&gt;",'Auction Log'!$E$5:$E$304,"&gt;0")=0,"",IFERROR(INDEX('Auction Log'!$E$5:$E$304,MATCH(1,('Auction Log'!$B$5:$B$304=A18)*('Auction Log'!$D$5:$D$304&lt;&gt;"")*('Auction Log'!$E$5:$E$304&gt;0),0)),""))</f>
        <v/>
      </c>
      <c r="F18" s="18" t="s">
        <v>124</v>
      </c>
      <c r="G18" s="18" t="s">
        <v>26</v>
      </c>
      <c r="H18" s="18" t="n">
        <v>5</v>
      </c>
      <c r="I18" s="18" t="n">
        <v>21</v>
      </c>
      <c r="J18" s="18" t="n">
        <v>3</v>
      </c>
      <c r="K18" s="36" t="n">
        <v>274</v>
      </c>
      <c r="L18" s="36" t="n">
        <v>271</v>
      </c>
      <c r="M18" s="19" t="n">
        <v>40</v>
      </c>
      <c r="N18" s="19" t="n">
        <v>40</v>
      </c>
      <c r="O18" s="19" t="n">
        <v>-1</v>
      </c>
      <c r="P18" s="19" t="n">
        <v>1</v>
      </c>
      <c r="Q18" s="19" t="n">
        <v>0</v>
      </c>
      <c r="R18" s="19" t="n">
        <v>42</v>
      </c>
      <c r="S18" s="19" t="n">
        <v>39</v>
      </c>
      <c r="T18" s="18" t="s">
        <v>125</v>
      </c>
      <c r="U18" s="32"/>
      <c r="V18" s="19" t="str">
        <f aca="false">IF(E18="","",R18-E18)</f>
        <v/>
      </c>
      <c r="W18" s="18" t="s">
        <v>98</v>
      </c>
      <c r="X18" s="4" t="n">
        <f aca="false">IF(AND(D18="Available",R18&gt;=55),ROW(),9999)</f>
        <v>9999</v>
      </c>
      <c r="Y18" s="4" t="n">
        <f aca="false">IF(AND(D18="Available",R18&gt;=40,R18&lt;55),ROW(),9999)</f>
        <v>18</v>
      </c>
      <c r="Z18" s="4" t="n">
        <f aca="false">IF(AND(D18="Available",R18&gt;=25,R18&lt;40),ROW(),9999)</f>
        <v>9999</v>
      </c>
      <c r="AA18" s="35" t="n">
        <f aca="false">IF(K18="","",IF(L18="",K18,ROUND(AVERAGE(K18,L18),0)))</f>
        <v>273</v>
      </c>
    </row>
    <row r="19" customFormat="false" ht="15" hidden="false" customHeight="false" outlineLevel="0" collapsed="false">
      <c r="A19" s="18" t="s">
        <v>126</v>
      </c>
      <c r="B19" s="19" t="n">
        <f aca="false">R19-N19</f>
        <v>3</v>
      </c>
      <c r="C19" s="18" t="str">
        <f aca="false">IF(B19&gt;=5,"SMASH BUY",IF(B19&gt;=2,"BUY",IF(B19&gt;=-1,"NEUTRAL",IF(B19&gt;=-4,"AVOID","DO NOT BID"))))</f>
        <v>BUY</v>
      </c>
      <c r="D19" s="18" t="str">
        <f aca="false">IF(COUNTIFS('Auction Log'!$B$5:$B$304,A19,'Auction Log'!$D$5:$D$304,"&lt;&gt;",'Auction Log'!$E$5:$E$304,"&gt;0")=0,"Available",IFERROR(INDEX('Auction Log'!$D$5:$D$304,MATCH(1,('Auction Log'!$B$5:$B$304=A19)*('Auction Log'!$D$5:$D$304&lt;&gt;"")*('Auction Log'!$E$5:$E$304&gt;0),0)),"SOLD"))</f>
        <v>Available</v>
      </c>
      <c r="E19" s="19" t="str">
        <f aca="false">IF(COUNTIFS('Auction Log'!$B$5:$B$304,A19,'Auction Log'!$D$5:$D$304,"&lt;&gt;",'Auction Log'!$E$5:$E$304,"&gt;0")=0,"",IFERROR(INDEX('Auction Log'!$E$5:$E$304,MATCH(1,('Auction Log'!$B$5:$B$304=A19)*('Auction Log'!$D$5:$D$304&lt;&gt;"")*('Auction Log'!$E$5:$E$304&gt;0),0)),""))</f>
        <v/>
      </c>
      <c r="F19" s="18" t="s">
        <v>100</v>
      </c>
      <c r="G19" s="18" t="s">
        <v>21</v>
      </c>
      <c r="H19" s="18" t="n">
        <v>6</v>
      </c>
      <c r="I19" s="18" t="n">
        <v>15</v>
      </c>
      <c r="J19" s="18" t="n">
        <v>3</v>
      </c>
      <c r="K19" s="36" t="n">
        <v>279</v>
      </c>
      <c r="L19" s="36" t="n">
        <v>272</v>
      </c>
      <c r="M19" s="19" t="n">
        <v>35</v>
      </c>
      <c r="N19" s="19" t="n">
        <v>36</v>
      </c>
      <c r="O19" s="19" t="n">
        <v>0</v>
      </c>
      <c r="P19" s="19" t="n">
        <v>1</v>
      </c>
      <c r="Q19" s="19" t="n">
        <v>0</v>
      </c>
      <c r="R19" s="19" t="n">
        <v>39</v>
      </c>
      <c r="S19" s="19" t="n">
        <v>36</v>
      </c>
      <c r="T19" s="18" t="s">
        <v>125</v>
      </c>
      <c r="U19" s="32"/>
      <c r="V19" s="19" t="str">
        <f aca="false">IF(E19="","",R19-E19)</f>
        <v/>
      </c>
      <c r="W19" s="18" t="s">
        <v>98</v>
      </c>
      <c r="X19" s="4" t="n">
        <f aca="false">IF(AND(D19="Available",R19&gt;=55),ROW(),9999)</f>
        <v>9999</v>
      </c>
      <c r="Y19" s="4" t="n">
        <f aca="false">IF(AND(D19="Available",R19&gt;=40,R19&lt;55),ROW(),9999)</f>
        <v>9999</v>
      </c>
      <c r="Z19" s="4" t="n">
        <f aca="false">IF(AND(D19="Available",R19&gt;=25,R19&lt;40),ROW(),9999)</f>
        <v>19</v>
      </c>
      <c r="AA19" s="35" t="n">
        <f aca="false">IF(K19="","",IF(L19="",K19,ROUND(AVERAGE(K19,L19),0)))</f>
        <v>276</v>
      </c>
    </row>
    <row r="20" customFormat="false" ht="15" hidden="false" customHeight="false" outlineLevel="0" collapsed="false">
      <c r="A20" s="18" t="s">
        <v>127</v>
      </c>
      <c r="B20" s="19" t="n">
        <f aca="false">R20-N20</f>
        <v>3</v>
      </c>
      <c r="C20" s="18" t="str">
        <f aca="false">IF(B20&gt;=5,"SMASH BUY",IF(B20&gt;=2,"BUY",IF(B20&gt;=-1,"NEUTRAL",IF(B20&gt;=-4,"AVOID","DO NOT BID"))))</f>
        <v>BUY</v>
      </c>
      <c r="D20" s="18" t="str">
        <f aca="false">IF(COUNTIFS('Auction Log'!$B$5:$B$304,A20,'Auction Log'!$D$5:$D$304,"&lt;&gt;",'Auction Log'!$E$5:$E$304,"&gt;0")=0,"Available",IFERROR(INDEX('Auction Log'!$D$5:$D$304,MATCH(1,('Auction Log'!$B$5:$B$304=A20)*('Auction Log'!$D$5:$D$304&lt;&gt;"")*('Auction Log'!$E$5:$E$304&gt;0),0)),"SOLD"))</f>
        <v>Available</v>
      </c>
      <c r="E20" s="19" t="str">
        <f aca="false">IF(COUNTIFS('Auction Log'!$B$5:$B$304,A20,'Auction Log'!$D$5:$D$304,"&lt;&gt;",'Auction Log'!$E$5:$E$304,"&gt;0")=0,"",IFERROR(INDEX('Auction Log'!$E$5:$E$304,MATCH(1,('Auction Log'!$B$5:$B$304=A20)*('Auction Log'!$D$5:$D$304&lt;&gt;"")*('Auction Log'!$E$5:$E$304&gt;0),0)),""))</f>
        <v/>
      </c>
      <c r="F20" s="18" t="s">
        <v>128</v>
      </c>
      <c r="G20" s="18" t="s">
        <v>26</v>
      </c>
      <c r="H20" s="18" t="n">
        <v>8</v>
      </c>
      <c r="I20" s="18" t="n">
        <v>17</v>
      </c>
      <c r="J20" s="18" t="n">
        <v>3</v>
      </c>
      <c r="K20" s="36" t="n">
        <v>262</v>
      </c>
      <c r="L20" s="36" t="n">
        <v>250</v>
      </c>
      <c r="M20" s="19" t="n">
        <v>30</v>
      </c>
      <c r="N20" s="19" t="n">
        <v>36</v>
      </c>
      <c r="O20" s="19" t="n">
        <v>-1</v>
      </c>
      <c r="P20" s="19" t="n">
        <v>2</v>
      </c>
      <c r="Q20" s="19" t="n">
        <v>0</v>
      </c>
      <c r="R20" s="19" t="n">
        <v>39</v>
      </c>
      <c r="S20" s="19" t="n">
        <v>36</v>
      </c>
      <c r="T20" s="18" t="s">
        <v>125</v>
      </c>
      <c r="U20" s="32"/>
      <c r="V20" s="19" t="str">
        <f aca="false">IF(E20="","",R20-E20)</f>
        <v/>
      </c>
      <c r="W20" s="18" t="s">
        <v>98</v>
      </c>
      <c r="X20" s="4" t="n">
        <f aca="false">IF(AND(D20="Available",R20&gt;=55),ROW(),9999)</f>
        <v>9999</v>
      </c>
      <c r="Y20" s="4" t="n">
        <f aca="false">IF(AND(D20="Available",R20&gt;=40,R20&lt;55),ROW(),9999)</f>
        <v>9999</v>
      </c>
      <c r="Z20" s="4" t="n">
        <f aca="false">IF(AND(D20="Available",R20&gt;=25,R20&lt;40),ROW(),9999)</f>
        <v>20</v>
      </c>
      <c r="AA20" s="35" t="n">
        <f aca="false">IF(K20="","",IF(L20="",K20,ROUND(AVERAGE(K20,L20),0)))</f>
        <v>256</v>
      </c>
    </row>
    <row r="21" customFormat="false" ht="15" hidden="false" customHeight="false" outlineLevel="0" collapsed="false">
      <c r="A21" s="18" t="s">
        <v>129</v>
      </c>
      <c r="B21" s="19" t="n">
        <f aca="false">R21-N21</f>
        <v>3</v>
      </c>
      <c r="C21" s="18" t="str">
        <f aca="false">IF(B21&gt;=5,"SMASH BUY",IF(B21&gt;=2,"BUY",IF(B21&gt;=-1,"NEUTRAL",IF(B21&gt;=-4,"AVOID","DO NOT BID"))))</f>
        <v>BUY</v>
      </c>
      <c r="D21" s="18" t="str">
        <f aca="false">IF(COUNTIFS('Auction Log'!$B$5:$B$304,A21,'Auction Log'!$D$5:$D$304,"&lt;&gt;",'Auction Log'!$E$5:$E$304,"&gt;0")=0,"Available",IFERROR(INDEX('Auction Log'!$D$5:$D$304,MATCH(1,('Auction Log'!$B$5:$B$304=A21)*('Auction Log'!$D$5:$D$304&lt;&gt;"")*('Auction Log'!$E$5:$E$304&gt;0),0)),"SOLD"))</f>
        <v>Available</v>
      </c>
      <c r="E21" s="19" t="str">
        <f aca="false">IF(COUNTIFS('Auction Log'!$B$5:$B$304,A21,'Auction Log'!$D$5:$D$304,"&lt;&gt;",'Auction Log'!$E$5:$E$304,"&gt;0")=0,"",IFERROR(INDEX('Auction Log'!$E$5:$E$304,MATCH(1,('Auction Log'!$B$5:$B$304=A21)*('Auction Log'!$D$5:$D$304&lt;&gt;"")*('Auction Log'!$E$5:$E$304&gt;0),0)),""))</f>
        <v/>
      </c>
      <c r="F21" s="18" t="s">
        <v>130</v>
      </c>
      <c r="G21" s="18" t="s">
        <v>26</v>
      </c>
      <c r="H21" s="18" t="n">
        <v>11</v>
      </c>
      <c r="I21" s="18" t="n">
        <v>12</v>
      </c>
      <c r="J21" s="18" t="n">
        <v>3</v>
      </c>
      <c r="K21" s="36" t="n">
        <v>256</v>
      </c>
      <c r="L21" s="36" t="n">
        <v>249</v>
      </c>
      <c r="M21" s="19" t="n">
        <v>29</v>
      </c>
      <c r="N21" s="19" t="n">
        <v>35</v>
      </c>
      <c r="O21" s="19" t="n">
        <v>-1</v>
      </c>
      <c r="P21" s="19" t="n">
        <v>2</v>
      </c>
      <c r="Q21" s="19" t="n">
        <v>0</v>
      </c>
      <c r="R21" s="19" t="n">
        <v>38</v>
      </c>
      <c r="S21" s="19" t="n">
        <v>35</v>
      </c>
      <c r="T21" s="18" t="s">
        <v>125</v>
      </c>
      <c r="U21" s="32"/>
      <c r="V21" s="19" t="str">
        <f aca="false">IF(E21="","",R21-E21)</f>
        <v/>
      </c>
      <c r="W21" s="18" t="s">
        <v>98</v>
      </c>
      <c r="X21" s="4" t="n">
        <f aca="false">IF(AND(D21="Available",R21&gt;=55),ROW(),9999)</f>
        <v>9999</v>
      </c>
      <c r="Y21" s="4" t="n">
        <f aca="false">IF(AND(D21="Available",R21&gt;=40,R21&lt;55),ROW(),9999)</f>
        <v>9999</v>
      </c>
      <c r="Z21" s="4" t="n">
        <f aca="false">IF(AND(D21="Available",R21&gt;=25,R21&lt;40),ROW(),9999)</f>
        <v>21</v>
      </c>
      <c r="AA21" s="35" t="n">
        <f aca="false">IF(K21="","",IF(L21="",K21,ROUND(AVERAGE(K21,L21),0)))</f>
        <v>253</v>
      </c>
    </row>
    <row r="22" customFormat="false" ht="15" hidden="false" customHeight="false" outlineLevel="0" collapsed="false">
      <c r="A22" s="18" t="s">
        <v>131</v>
      </c>
      <c r="B22" s="19" t="n">
        <f aca="false">R22-N22</f>
        <v>3</v>
      </c>
      <c r="C22" s="18" t="str">
        <f aca="false">IF(B22&gt;=5,"SMASH BUY",IF(B22&gt;=2,"BUY",IF(B22&gt;=-1,"NEUTRAL",IF(B22&gt;=-4,"AVOID","DO NOT BID"))))</f>
        <v>BUY</v>
      </c>
      <c r="D22" s="18" t="str">
        <f aca="false">IF(COUNTIFS('Auction Log'!$B$5:$B$304,A22,'Auction Log'!$D$5:$D$304,"&lt;&gt;",'Auction Log'!$E$5:$E$304,"&gt;0")=0,"Available",IFERROR(INDEX('Auction Log'!$D$5:$D$304,MATCH(1,('Auction Log'!$B$5:$B$304=A22)*('Auction Log'!$D$5:$D$304&lt;&gt;"")*('Auction Log'!$E$5:$E$304&gt;0),0)),"SOLD"))</f>
        <v>Available</v>
      </c>
      <c r="E22" s="19" t="str">
        <f aca="false">IF(COUNTIFS('Auction Log'!$B$5:$B$304,A22,'Auction Log'!$D$5:$D$304,"&lt;&gt;",'Auction Log'!$E$5:$E$304,"&gt;0")=0,"",IFERROR(INDEX('Auction Log'!$E$5:$E$304,MATCH(1,('Auction Log'!$B$5:$B$304=A22)*('Auction Log'!$D$5:$D$304&lt;&gt;"")*('Auction Log'!$E$5:$E$304&gt;0),0)),""))</f>
        <v/>
      </c>
      <c r="F22" s="18" t="s">
        <v>132</v>
      </c>
      <c r="G22" s="18" t="s">
        <v>21</v>
      </c>
      <c r="H22" s="18" t="n">
        <v>13</v>
      </c>
      <c r="I22" s="18" t="n">
        <v>36</v>
      </c>
      <c r="J22" s="18" t="n">
        <v>5</v>
      </c>
      <c r="K22" s="36" t="n">
        <v>274</v>
      </c>
      <c r="L22" s="36" t="n">
        <v>275</v>
      </c>
      <c r="M22" s="19" t="n">
        <v>36</v>
      </c>
      <c r="N22" s="19" t="n">
        <v>35</v>
      </c>
      <c r="O22" s="19" t="n">
        <v>-2</v>
      </c>
      <c r="P22" s="19" t="n">
        <v>3</v>
      </c>
      <c r="Q22" s="19" t="n">
        <v>0</v>
      </c>
      <c r="R22" s="19" t="n">
        <v>38</v>
      </c>
      <c r="S22" s="19" t="n">
        <v>35</v>
      </c>
      <c r="T22" s="18" t="s">
        <v>125</v>
      </c>
      <c r="U22" s="32"/>
      <c r="V22" s="19" t="str">
        <f aca="false">IF(E22="","",R22-E22)</f>
        <v/>
      </c>
      <c r="W22" s="18" t="s">
        <v>98</v>
      </c>
      <c r="X22" s="4" t="n">
        <f aca="false">IF(AND(D22="Available",R22&gt;=55),ROW(),9999)</f>
        <v>9999</v>
      </c>
      <c r="Y22" s="4" t="n">
        <f aca="false">IF(AND(D22="Available",R22&gt;=40,R22&lt;55),ROW(),9999)</f>
        <v>9999</v>
      </c>
      <c r="Z22" s="4" t="n">
        <f aca="false">IF(AND(D22="Available",R22&gt;=25,R22&lt;40),ROW(),9999)</f>
        <v>22</v>
      </c>
      <c r="AA22" s="35" t="n">
        <f aca="false">IF(K22="","",IF(L22="",K22,ROUND(AVERAGE(K22,L22),0)))</f>
        <v>275</v>
      </c>
    </row>
    <row r="23" customFormat="false" ht="15" hidden="false" customHeight="false" outlineLevel="0" collapsed="false">
      <c r="A23" s="18" t="s">
        <v>133</v>
      </c>
      <c r="B23" s="19" t="n">
        <f aca="false">R23-N23</f>
        <v>5</v>
      </c>
      <c r="C23" s="18" t="str">
        <f aca="false">IF(B23&gt;=5,"SMASH BUY",IF(B23&gt;=2,"BUY",IF(B23&gt;=-1,"NEUTRAL",IF(B23&gt;=-4,"AVOID","DO NOT BID"))))</f>
        <v>SMASH BUY</v>
      </c>
      <c r="D23" s="18" t="str">
        <f aca="false">IF(COUNTIFS('Auction Log'!$B$5:$B$304,A23,'Auction Log'!$D$5:$D$304,"&lt;&gt;",'Auction Log'!$E$5:$E$304,"&gt;0")=0,"Available",IFERROR(INDEX('Auction Log'!$D$5:$D$304,MATCH(1,('Auction Log'!$B$5:$B$304=A23)*('Auction Log'!$D$5:$D$304&lt;&gt;"")*('Auction Log'!$E$5:$E$304&gt;0),0)),"SOLD"))</f>
        <v>Available</v>
      </c>
      <c r="E23" s="19" t="str">
        <f aca="false">IF(COUNTIFS('Auction Log'!$B$5:$B$304,A23,'Auction Log'!$D$5:$D$304,"&lt;&gt;",'Auction Log'!$E$5:$E$304,"&gt;0")=0,"",IFERROR(INDEX('Auction Log'!$E$5:$E$304,MATCH(1,('Auction Log'!$B$5:$B$304=A23)*('Auction Log'!$D$5:$D$304&lt;&gt;"")*('Auction Log'!$E$5:$E$304&gt;0),0)),""))</f>
        <v/>
      </c>
      <c r="F23" s="18" t="s">
        <v>134</v>
      </c>
      <c r="G23" s="18" t="s">
        <v>26</v>
      </c>
      <c r="H23" s="18" t="n">
        <v>8</v>
      </c>
      <c r="I23" s="18" t="n">
        <v>13</v>
      </c>
      <c r="J23" s="18" t="n">
        <v>3</v>
      </c>
      <c r="K23" s="36" t="n">
        <v>248</v>
      </c>
      <c r="L23" s="36" t="n">
        <v>249</v>
      </c>
      <c r="M23" s="19" t="n">
        <v>31</v>
      </c>
      <c r="N23" s="19" t="n">
        <v>32</v>
      </c>
      <c r="O23" s="19" t="n">
        <v>1</v>
      </c>
      <c r="P23" s="19" t="n">
        <v>2</v>
      </c>
      <c r="Q23" s="19" t="n">
        <v>0</v>
      </c>
      <c r="R23" s="19" t="n">
        <v>37</v>
      </c>
      <c r="S23" s="19" t="n">
        <v>34</v>
      </c>
      <c r="T23" s="18" t="s">
        <v>97</v>
      </c>
      <c r="U23" s="32"/>
      <c r="V23" s="19" t="str">
        <f aca="false">IF(E23="","",R23-E23)</f>
        <v/>
      </c>
      <c r="W23" s="18" t="s">
        <v>98</v>
      </c>
      <c r="X23" s="4" t="n">
        <f aca="false">IF(AND(D23="Available",R23&gt;=55),ROW(),9999)</f>
        <v>9999</v>
      </c>
      <c r="Y23" s="4" t="n">
        <f aca="false">IF(AND(D23="Available",R23&gt;=40,R23&lt;55),ROW(),9999)</f>
        <v>9999</v>
      </c>
      <c r="Z23" s="4" t="n">
        <f aca="false">IF(AND(D23="Available",R23&gt;=25,R23&lt;40),ROW(),9999)</f>
        <v>23</v>
      </c>
      <c r="AA23" s="35" t="n">
        <f aca="false">IF(K23="","",IF(L23="",K23,ROUND(AVERAGE(K23,L23),0)))</f>
        <v>249</v>
      </c>
    </row>
    <row r="24" customFormat="false" ht="15" hidden="false" customHeight="false" outlineLevel="0" collapsed="false">
      <c r="A24" s="18" t="s">
        <v>135</v>
      </c>
      <c r="B24" s="19" t="n">
        <f aca="false">R24-N24</f>
        <v>4</v>
      </c>
      <c r="C24" s="18" t="str">
        <f aca="false">IF(B24&gt;=5,"SMASH BUY",IF(B24&gt;=2,"BUY",IF(B24&gt;=-1,"NEUTRAL",IF(B24&gt;=-4,"AVOID","DO NOT BID"))))</f>
        <v>BUY</v>
      </c>
      <c r="D24" s="18" t="str">
        <f aca="false">IF(COUNTIFS('Auction Log'!$B$5:$B$304,A24,'Auction Log'!$D$5:$D$304,"&lt;&gt;",'Auction Log'!$E$5:$E$304,"&gt;0")=0,"Available",IFERROR(INDEX('Auction Log'!$D$5:$D$304,MATCH(1,('Auction Log'!$B$5:$B$304=A24)*('Auction Log'!$D$5:$D$304&lt;&gt;"")*('Auction Log'!$E$5:$E$304&gt;0),0)),"SOLD"))</f>
        <v>Available</v>
      </c>
      <c r="E24" s="19" t="str">
        <f aca="false">IF(COUNTIFS('Auction Log'!$B$5:$B$304,A24,'Auction Log'!$D$5:$D$304,"&lt;&gt;",'Auction Log'!$E$5:$E$304,"&gt;0")=0,"",IFERROR(INDEX('Auction Log'!$E$5:$E$304,MATCH(1,('Auction Log'!$B$5:$B$304=A24)*('Auction Log'!$D$5:$D$304&lt;&gt;"")*('Auction Log'!$E$5:$E$304&gt;0),0)),""))</f>
        <v/>
      </c>
      <c r="F24" s="18" t="s">
        <v>136</v>
      </c>
      <c r="G24" s="18" t="s">
        <v>30</v>
      </c>
      <c r="H24" s="18" t="n">
        <v>14</v>
      </c>
      <c r="I24" s="18" t="n">
        <v>20</v>
      </c>
      <c r="J24" s="18" t="n">
        <v>3</v>
      </c>
      <c r="K24" s="36" t="n">
        <v>254</v>
      </c>
      <c r="L24" s="36" t="n">
        <v>242</v>
      </c>
      <c r="M24" s="19" t="n">
        <v>38</v>
      </c>
      <c r="N24" s="19" t="n">
        <v>33</v>
      </c>
      <c r="O24" s="19" t="n">
        <v>1</v>
      </c>
      <c r="P24" s="19" t="n">
        <v>1</v>
      </c>
      <c r="Q24" s="19" t="n">
        <v>0</v>
      </c>
      <c r="R24" s="19" t="n">
        <v>37</v>
      </c>
      <c r="S24" s="19" t="n">
        <v>34</v>
      </c>
      <c r="T24" s="18" t="s">
        <v>97</v>
      </c>
      <c r="U24" s="32"/>
      <c r="V24" s="19" t="str">
        <f aca="false">IF(E24="","",R24-E24)</f>
        <v/>
      </c>
      <c r="W24" s="18" t="s">
        <v>98</v>
      </c>
      <c r="X24" s="4" t="n">
        <f aca="false">IF(AND(D24="Available",R24&gt;=55),ROW(),9999)</f>
        <v>9999</v>
      </c>
      <c r="Y24" s="4" t="n">
        <f aca="false">IF(AND(D24="Available",R24&gt;=40,R24&lt;55),ROW(),9999)</f>
        <v>9999</v>
      </c>
      <c r="Z24" s="4" t="n">
        <f aca="false">IF(AND(D24="Available",R24&gt;=25,R24&lt;40),ROW(),9999)</f>
        <v>24</v>
      </c>
      <c r="AA24" s="35" t="n">
        <f aca="false">IF(K24="","",IF(L24="",K24,ROUND(AVERAGE(K24,L24),0)))</f>
        <v>248</v>
      </c>
    </row>
    <row r="25" customFormat="false" ht="15" hidden="false" customHeight="false" outlineLevel="0" collapsed="false">
      <c r="A25" s="18" t="s">
        <v>137</v>
      </c>
      <c r="B25" s="19" t="n">
        <f aca="false">R25-N25</f>
        <v>5</v>
      </c>
      <c r="C25" s="18" t="str">
        <f aca="false">IF(B25&gt;=5,"SMASH BUY",IF(B25&gt;=2,"BUY",IF(B25&gt;=-1,"NEUTRAL",IF(B25&gt;=-4,"AVOID","DO NOT BID"))))</f>
        <v>SMASH BUY</v>
      </c>
      <c r="D25" s="18" t="str">
        <f aca="false">IF(COUNTIFS('Auction Log'!$B$5:$B$304,A25,'Auction Log'!$D$5:$D$304,"&lt;&gt;",'Auction Log'!$E$5:$E$304,"&gt;0")=0,"Available",IFERROR(INDEX('Auction Log'!$D$5:$D$304,MATCH(1,('Auction Log'!$B$5:$B$304=A25)*('Auction Log'!$D$5:$D$304&lt;&gt;"")*('Auction Log'!$E$5:$E$304&gt;0),0)),"SOLD"))</f>
        <v>Available</v>
      </c>
      <c r="E25" s="19" t="str">
        <f aca="false">IF(COUNTIFS('Auction Log'!$B$5:$B$304,A25,'Auction Log'!$D$5:$D$304,"&lt;&gt;",'Auction Log'!$E$5:$E$304,"&gt;0")=0,"",IFERROR(INDEX('Auction Log'!$E$5:$E$304,MATCH(1,('Auction Log'!$B$5:$B$304=A25)*('Auction Log'!$D$5:$D$304&lt;&gt;"")*('Auction Log'!$E$5:$E$304&gt;0),0)),""))</f>
        <v/>
      </c>
      <c r="F25" s="18" t="s">
        <v>138</v>
      </c>
      <c r="G25" s="18" t="s">
        <v>21</v>
      </c>
      <c r="H25" s="18" t="n">
        <v>10</v>
      </c>
      <c r="I25" s="18" t="n">
        <v>23</v>
      </c>
      <c r="J25" s="18" t="n">
        <v>4</v>
      </c>
      <c r="K25" s="36" t="n">
        <v>265</v>
      </c>
      <c r="L25" s="36" t="n">
        <v>274</v>
      </c>
      <c r="M25" s="19" t="n">
        <v>37</v>
      </c>
      <c r="N25" s="19" t="n">
        <v>32</v>
      </c>
      <c r="O25" s="19" t="n">
        <v>1</v>
      </c>
      <c r="P25" s="19" t="n">
        <v>2</v>
      </c>
      <c r="Q25" s="19" t="n">
        <v>0</v>
      </c>
      <c r="R25" s="19" t="n">
        <v>37</v>
      </c>
      <c r="S25" s="19" t="n">
        <v>34</v>
      </c>
      <c r="T25" s="18" t="s">
        <v>97</v>
      </c>
      <c r="U25" s="32"/>
      <c r="V25" s="19" t="str">
        <f aca="false">IF(E25="","",R25-E25)</f>
        <v/>
      </c>
      <c r="W25" s="18" t="s">
        <v>98</v>
      </c>
      <c r="X25" s="4" t="n">
        <f aca="false">IF(AND(D25="Available",R25&gt;=55),ROW(),9999)</f>
        <v>9999</v>
      </c>
      <c r="Y25" s="4" t="n">
        <f aca="false">IF(AND(D25="Available",R25&gt;=40,R25&lt;55),ROW(),9999)</f>
        <v>9999</v>
      </c>
      <c r="Z25" s="4" t="n">
        <f aca="false">IF(AND(D25="Available",R25&gt;=25,R25&lt;40),ROW(),9999)</f>
        <v>25</v>
      </c>
      <c r="AA25" s="35" t="n">
        <f aca="false">IF(K25="","",IF(L25="",K25,ROUND(AVERAGE(K25,L25),0)))</f>
        <v>270</v>
      </c>
    </row>
    <row r="26" customFormat="false" ht="15" hidden="false" customHeight="false" outlineLevel="0" collapsed="false">
      <c r="A26" s="18" t="s">
        <v>139</v>
      </c>
      <c r="B26" s="19" t="n">
        <f aca="false">R26-N26</f>
        <v>5</v>
      </c>
      <c r="C26" s="18" t="str">
        <f aca="false">IF(B26&gt;=5,"SMASH BUY",IF(B26&gt;=2,"BUY",IF(B26&gt;=-1,"NEUTRAL",IF(B26&gt;=-4,"AVOID","DO NOT BID"))))</f>
        <v>SMASH BUY</v>
      </c>
      <c r="D26" s="18" t="str">
        <f aca="false">IF(COUNTIFS('Auction Log'!$B$5:$B$304,A26,'Auction Log'!$D$5:$D$304,"&lt;&gt;",'Auction Log'!$E$5:$E$304,"&gt;0")=0,"Available",IFERROR(INDEX('Auction Log'!$D$5:$D$304,MATCH(1,('Auction Log'!$B$5:$B$304=A26)*('Auction Log'!$D$5:$D$304&lt;&gt;"")*('Auction Log'!$E$5:$E$304&gt;0),0)),"SOLD"))</f>
        <v>Available</v>
      </c>
      <c r="E26" s="19" t="str">
        <f aca="false">IF(COUNTIFS('Auction Log'!$B$5:$B$304,A26,'Auction Log'!$D$5:$D$304,"&lt;&gt;",'Auction Log'!$E$5:$E$304,"&gt;0")=0,"",IFERROR(INDEX('Auction Log'!$E$5:$E$304,MATCH(1,('Auction Log'!$B$5:$B$304=A26)*('Auction Log'!$D$5:$D$304&lt;&gt;"")*('Auction Log'!$E$5:$E$304&gt;0),0)),""))</f>
        <v/>
      </c>
      <c r="F26" s="18" t="s">
        <v>124</v>
      </c>
      <c r="G26" s="18" t="s">
        <v>21</v>
      </c>
      <c r="H26" s="18" t="n">
        <v>5</v>
      </c>
      <c r="I26" s="18" t="n">
        <v>27</v>
      </c>
      <c r="J26" s="18" t="n">
        <v>4</v>
      </c>
      <c r="K26" s="36" t="n">
        <v>258</v>
      </c>
      <c r="L26" s="36" t="n">
        <v>274</v>
      </c>
      <c r="M26" s="19" t="n">
        <v>34</v>
      </c>
      <c r="N26" s="19" t="n">
        <v>31</v>
      </c>
      <c r="O26" s="19" t="n">
        <v>1</v>
      </c>
      <c r="P26" s="19" t="n">
        <v>2</v>
      </c>
      <c r="Q26" s="19" t="n">
        <v>0</v>
      </c>
      <c r="R26" s="19" t="n">
        <v>36</v>
      </c>
      <c r="S26" s="19" t="n">
        <v>33</v>
      </c>
      <c r="T26" s="18" t="s">
        <v>97</v>
      </c>
      <c r="U26" s="32"/>
      <c r="V26" s="19" t="str">
        <f aca="false">IF(E26="","",R26-E26)</f>
        <v/>
      </c>
      <c r="W26" s="18" t="s">
        <v>98</v>
      </c>
      <c r="X26" s="4" t="n">
        <f aca="false">IF(AND(D26="Available",R26&gt;=55),ROW(),9999)</f>
        <v>9999</v>
      </c>
      <c r="Y26" s="4" t="n">
        <f aca="false">IF(AND(D26="Available",R26&gt;=40,R26&lt;55),ROW(),9999)</f>
        <v>9999</v>
      </c>
      <c r="Z26" s="4" t="n">
        <f aca="false">IF(AND(D26="Available",R26&gt;=25,R26&lt;40),ROW(),9999)</f>
        <v>26</v>
      </c>
      <c r="AA26" s="35" t="n">
        <f aca="false">IF(K26="","",IF(L26="",K26,ROUND(AVERAGE(K26,L26),0)))</f>
        <v>266</v>
      </c>
    </row>
    <row r="27" customFormat="false" ht="15" hidden="false" customHeight="false" outlineLevel="0" collapsed="false">
      <c r="A27" s="18" t="s">
        <v>140</v>
      </c>
      <c r="B27" s="19" t="n">
        <f aca="false">R27-N27</f>
        <v>4</v>
      </c>
      <c r="C27" s="18" t="str">
        <f aca="false">IF(B27&gt;=5,"SMASH BUY",IF(B27&gt;=2,"BUY",IF(B27&gt;=-1,"NEUTRAL",IF(B27&gt;=-4,"AVOID","DO NOT BID"))))</f>
        <v>BUY</v>
      </c>
      <c r="D27" s="18" t="str">
        <f aca="false">IF(COUNTIFS('Auction Log'!$B$5:$B$304,A27,'Auction Log'!$D$5:$D$304,"&lt;&gt;",'Auction Log'!$E$5:$E$304,"&gt;0")=0,"Available",IFERROR(INDEX('Auction Log'!$D$5:$D$304,MATCH(1,('Auction Log'!$B$5:$B$304=A27)*('Auction Log'!$D$5:$D$304&lt;&gt;"")*('Auction Log'!$E$5:$E$304&gt;0),0)),"SOLD"))</f>
        <v>Available</v>
      </c>
      <c r="E27" s="19" t="str">
        <f aca="false">IF(COUNTIFS('Auction Log'!$B$5:$B$304,A27,'Auction Log'!$D$5:$D$304,"&lt;&gt;",'Auction Log'!$E$5:$E$304,"&gt;0")=0,"",IFERROR(INDEX('Auction Log'!$E$5:$E$304,MATCH(1,('Auction Log'!$B$5:$B$304=A27)*('Auction Log'!$D$5:$D$304&lt;&gt;"")*('Auction Log'!$E$5:$E$304&gt;0),0)),""))</f>
        <v/>
      </c>
      <c r="F27" s="18" t="s">
        <v>141</v>
      </c>
      <c r="G27" s="18" t="s">
        <v>30</v>
      </c>
      <c r="H27" s="18" t="n">
        <v>13</v>
      </c>
      <c r="I27" s="18" t="n">
        <v>16</v>
      </c>
      <c r="J27" s="18" t="n">
        <v>3</v>
      </c>
      <c r="K27" s="36" t="n">
        <v>244</v>
      </c>
      <c r="L27" s="36" t="n">
        <v>241</v>
      </c>
      <c r="M27" s="19" t="n">
        <v>32</v>
      </c>
      <c r="N27" s="19" t="n">
        <v>30</v>
      </c>
      <c r="O27" s="19" t="n">
        <v>1</v>
      </c>
      <c r="P27" s="19" t="n">
        <v>1</v>
      </c>
      <c r="Q27" s="19" t="n">
        <v>0</v>
      </c>
      <c r="R27" s="19" t="n">
        <v>34</v>
      </c>
      <c r="S27" s="19" t="n">
        <v>31</v>
      </c>
      <c r="T27" s="18" t="s">
        <v>97</v>
      </c>
      <c r="U27" s="32"/>
      <c r="V27" s="19" t="str">
        <f aca="false">IF(E27="","",R27-E27)</f>
        <v/>
      </c>
      <c r="W27" s="18" t="s">
        <v>98</v>
      </c>
      <c r="X27" s="4" t="n">
        <f aca="false">IF(AND(D27="Available",R27&gt;=55),ROW(),9999)</f>
        <v>9999</v>
      </c>
      <c r="Y27" s="4" t="n">
        <f aca="false">IF(AND(D27="Available",R27&gt;=40,R27&lt;55),ROW(),9999)</f>
        <v>9999</v>
      </c>
      <c r="Z27" s="4" t="n">
        <f aca="false">IF(AND(D27="Available",R27&gt;=25,R27&lt;40),ROW(),9999)</f>
        <v>27</v>
      </c>
      <c r="AA27" s="35" t="n">
        <f aca="false">IF(K27="","",IF(L27="",K27,ROUND(AVERAGE(K27,L27),0)))</f>
        <v>243</v>
      </c>
    </row>
    <row r="28" customFormat="false" ht="15" hidden="false" customHeight="false" outlineLevel="0" collapsed="false">
      <c r="A28" s="18" t="s">
        <v>142</v>
      </c>
      <c r="B28" s="19" t="n">
        <f aca="false">R28-N28</f>
        <v>1</v>
      </c>
      <c r="C28" s="18" t="str">
        <f aca="false">IF(B28&gt;=5,"SMASH BUY",IF(B28&gt;=2,"BUY",IF(B28&gt;=-1,"NEUTRAL",IF(B28&gt;=-4,"AVOID","DO NOT BID"))))</f>
        <v>NEUTRAL</v>
      </c>
      <c r="D28" s="18" t="str">
        <f aca="false">IF(COUNTIFS('Auction Log'!$B$5:$B$304,A28,'Auction Log'!$D$5:$D$304,"&lt;&gt;",'Auction Log'!$E$5:$E$304,"&gt;0")=0,"Available",IFERROR(INDEX('Auction Log'!$D$5:$D$304,MATCH(1,('Auction Log'!$B$5:$B$304=A28)*('Auction Log'!$D$5:$D$304&lt;&gt;"")*('Auction Log'!$E$5:$E$304&gt;0),0)),"SOLD"))</f>
        <v>Available</v>
      </c>
      <c r="E28" s="19" t="str">
        <f aca="false">IF(COUNTIFS('Auction Log'!$B$5:$B$304,A28,'Auction Log'!$D$5:$D$304,"&lt;&gt;",'Auction Log'!$E$5:$E$304,"&gt;0")=0,"",IFERROR(INDEX('Auction Log'!$E$5:$E$304,MATCH(1,('Auction Log'!$B$5:$B$304=A28)*('Auction Log'!$D$5:$D$304&lt;&gt;"")*('Auction Log'!$E$5:$E$304&gt;0),0)),""))</f>
        <v/>
      </c>
      <c r="F28" s="18" t="s">
        <v>115</v>
      </c>
      <c r="G28" s="18" t="s">
        <v>26</v>
      </c>
      <c r="H28" s="18" t="n">
        <v>14</v>
      </c>
      <c r="I28" s="18" t="n">
        <v>18</v>
      </c>
      <c r="J28" s="18" t="n">
        <v>3</v>
      </c>
      <c r="K28" s="36" t="n">
        <v>252</v>
      </c>
      <c r="L28" s="36" t="n">
        <v>238</v>
      </c>
      <c r="M28" s="19" t="n">
        <v>25</v>
      </c>
      <c r="N28" s="19" t="n">
        <v>33</v>
      </c>
      <c r="O28" s="19" t="n">
        <v>-2</v>
      </c>
      <c r="P28" s="19" t="n">
        <v>1</v>
      </c>
      <c r="Q28" s="19" t="n">
        <v>0</v>
      </c>
      <c r="R28" s="19" t="n">
        <v>34</v>
      </c>
      <c r="S28" s="19" t="n">
        <v>31</v>
      </c>
      <c r="T28" s="18" t="s">
        <v>125</v>
      </c>
      <c r="U28" s="32"/>
      <c r="V28" s="19" t="str">
        <f aca="false">IF(E28="","",R28-E28)</f>
        <v/>
      </c>
      <c r="W28" s="18" t="s">
        <v>98</v>
      </c>
      <c r="X28" s="4" t="n">
        <f aca="false">IF(AND(D28="Available",R28&gt;=55),ROW(),9999)</f>
        <v>9999</v>
      </c>
      <c r="Y28" s="4" t="n">
        <f aca="false">IF(AND(D28="Available",R28&gt;=40,R28&lt;55),ROW(),9999)</f>
        <v>9999</v>
      </c>
      <c r="Z28" s="4" t="n">
        <f aca="false">IF(AND(D28="Available",R28&gt;=25,R28&lt;40),ROW(),9999)</f>
        <v>28</v>
      </c>
      <c r="AA28" s="35" t="n">
        <f aca="false">IF(K28="","",IF(L28="",K28,ROUND(AVERAGE(K28,L28),0)))</f>
        <v>245</v>
      </c>
    </row>
    <row r="29" customFormat="false" ht="15" hidden="false" customHeight="false" outlineLevel="0" collapsed="false">
      <c r="A29" s="18" t="s">
        <v>143</v>
      </c>
      <c r="B29" s="19" t="n">
        <f aca="false">R29-N29</f>
        <v>4</v>
      </c>
      <c r="C29" s="18" t="str">
        <f aca="false">IF(B29&gt;=5,"SMASH BUY",IF(B29&gt;=2,"BUY",IF(B29&gt;=-1,"NEUTRAL",IF(B29&gt;=-4,"AVOID","DO NOT BID"))))</f>
        <v>BUY</v>
      </c>
      <c r="D29" s="18" t="str">
        <f aca="false">IF(COUNTIFS('Auction Log'!$B$5:$B$304,A29,'Auction Log'!$D$5:$D$304,"&lt;&gt;",'Auction Log'!$E$5:$E$304,"&gt;0")=0,"Available",IFERROR(INDEX('Auction Log'!$D$5:$D$304,MATCH(1,('Auction Log'!$B$5:$B$304=A29)*('Auction Log'!$D$5:$D$304&lt;&gt;"")*('Auction Log'!$E$5:$E$304&gt;0),0)),"SOLD"))</f>
        <v>Available</v>
      </c>
      <c r="E29" s="19" t="str">
        <f aca="false">IF(COUNTIFS('Auction Log'!$B$5:$B$304,A29,'Auction Log'!$D$5:$D$304,"&lt;&gt;",'Auction Log'!$E$5:$E$304,"&gt;0")=0,"",IFERROR(INDEX('Auction Log'!$E$5:$E$304,MATCH(1,('Auction Log'!$B$5:$B$304=A29)*('Auction Log'!$D$5:$D$304&lt;&gt;"")*('Auction Log'!$E$5:$E$304&gt;0),0)),""))</f>
        <v/>
      </c>
      <c r="F29" s="18" t="s">
        <v>144</v>
      </c>
      <c r="G29" s="18" t="s">
        <v>21</v>
      </c>
      <c r="H29" s="18" t="n">
        <v>7</v>
      </c>
      <c r="I29" s="18" t="n">
        <v>25</v>
      </c>
      <c r="J29" s="18" t="n">
        <v>4</v>
      </c>
      <c r="K29" s="36" t="n">
        <v>254</v>
      </c>
      <c r="L29" s="36" t="n">
        <v>262</v>
      </c>
      <c r="M29" s="19" t="n">
        <v>33</v>
      </c>
      <c r="N29" s="19" t="n">
        <v>30</v>
      </c>
      <c r="O29" s="19" t="n">
        <v>1</v>
      </c>
      <c r="P29" s="19" t="n">
        <v>1</v>
      </c>
      <c r="Q29" s="19" t="n">
        <v>0</v>
      </c>
      <c r="R29" s="19" t="n">
        <v>34</v>
      </c>
      <c r="S29" s="19" t="n">
        <v>31</v>
      </c>
      <c r="T29" s="18" t="s">
        <v>97</v>
      </c>
      <c r="U29" s="32"/>
      <c r="V29" s="19" t="str">
        <f aca="false">IF(E29="","",R29-E29)</f>
        <v/>
      </c>
      <c r="W29" s="18" t="s">
        <v>98</v>
      </c>
      <c r="X29" s="4" t="n">
        <f aca="false">IF(AND(D29="Available",R29&gt;=55),ROW(),9999)</f>
        <v>9999</v>
      </c>
      <c r="Y29" s="4" t="n">
        <f aca="false">IF(AND(D29="Available",R29&gt;=40,R29&lt;55),ROW(),9999)</f>
        <v>9999</v>
      </c>
      <c r="Z29" s="4" t="n">
        <f aca="false">IF(AND(D29="Available",R29&gt;=25,R29&lt;40),ROW(),9999)</f>
        <v>29</v>
      </c>
      <c r="AA29" s="35" t="n">
        <f aca="false">IF(K29="","",IF(L29="",K29,ROUND(AVERAGE(K29,L29),0)))</f>
        <v>258</v>
      </c>
    </row>
    <row r="30" customFormat="false" ht="42.75" hidden="false" customHeight="true" outlineLevel="0" collapsed="false">
      <c r="A30" s="18" t="s">
        <v>145</v>
      </c>
      <c r="B30" s="19" t="n">
        <f aca="false">R30-N30</f>
        <v>2</v>
      </c>
      <c r="C30" s="18" t="str">
        <f aca="false">IF(B30&gt;=5,"SMASH BUY",IF(B30&gt;=2,"BUY",IF(B30&gt;=-1,"NEUTRAL",IF(B30&gt;=-4,"AVOID","DO NOT BID"))))</f>
        <v>BUY</v>
      </c>
      <c r="D30" s="18" t="str">
        <f aca="false">IF(COUNTIFS('Auction Log'!$B$5:$B$304,A30,'Auction Log'!$D$5:$D$304,"&lt;&gt;",'Auction Log'!$E$5:$E$304,"&gt;0")=0,"Available",IFERROR(INDEX('Auction Log'!$D$5:$D$304,MATCH(1,('Auction Log'!$B$5:$B$304=A30)*('Auction Log'!$D$5:$D$304&lt;&gt;"")*('Auction Log'!$E$5:$E$304&gt;0),0)),"SOLD"))</f>
        <v>Available</v>
      </c>
      <c r="E30" s="19" t="str">
        <f aca="false">IF(COUNTIFS('Auction Log'!$B$5:$B$304,A30,'Auction Log'!$D$5:$D$304,"&lt;&gt;",'Auction Log'!$E$5:$E$304,"&gt;0")=0,"",IFERROR(INDEX('Auction Log'!$E$5:$E$304,MATCH(1,('Auction Log'!$B$5:$B$304=A30)*('Auction Log'!$D$5:$D$304&lt;&gt;"")*('Auction Log'!$E$5:$E$304&gt;0),0)),""))</f>
        <v/>
      </c>
      <c r="F30" s="18" t="s">
        <v>141</v>
      </c>
      <c r="G30" s="18" t="s">
        <v>21</v>
      </c>
      <c r="H30" s="18" t="n">
        <v>13</v>
      </c>
      <c r="I30" s="18" t="n">
        <v>28</v>
      </c>
      <c r="J30" s="18" t="n">
        <v>4</v>
      </c>
      <c r="K30" s="36" t="n">
        <v>261</v>
      </c>
      <c r="L30" s="36" t="n">
        <v>281</v>
      </c>
      <c r="M30" s="19" t="n">
        <v>45</v>
      </c>
      <c r="N30" s="19" t="n">
        <v>32</v>
      </c>
      <c r="O30" s="19" t="n">
        <v>3</v>
      </c>
      <c r="P30" s="19" t="n">
        <v>1</v>
      </c>
      <c r="Q30" s="19" t="n">
        <v>4</v>
      </c>
      <c r="R30" s="19" t="n">
        <v>34</v>
      </c>
      <c r="S30" s="19" t="n">
        <v>31</v>
      </c>
      <c r="T30" s="18" t="s">
        <v>107</v>
      </c>
      <c r="U30" s="32" t="s">
        <v>146</v>
      </c>
      <c r="V30" s="19" t="str">
        <f aca="false">IF(E30="","",R30-E30)</f>
        <v/>
      </c>
      <c r="W30" s="18" t="s">
        <v>98</v>
      </c>
      <c r="X30" s="4" t="n">
        <f aca="false">IF(AND(D30="Available",R30&gt;=55),ROW(),9999)</f>
        <v>9999</v>
      </c>
      <c r="Y30" s="4" t="n">
        <f aca="false">IF(AND(D30="Available",R30&gt;=40,R30&lt;55),ROW(),9999)</f>
        <v>9999</v>
      </c>
      <c r="Z30" s="4" t="n">
        <f aca="false">IF(AND(D30="Available",R30&gt;=25,R30&lt;40),ROW(),9999)</f>
        <v>30</v>
      </c>
      <c r="AA30" s="35" t="n">
        <f aca="false">IF(K30="","",IF(L30="",K30,ROUND(AVERAGE(K30,L30),0)))</f>
        <v>271</v>
      </c>
    </row>
    <row r="31" customFormat="false" ht="15" hidden="false" customHeight="false" outlineLevel="0" collapsed="false">
      <c r="A31" s="18" t="s">
        <v>147</v>
      </c>
      <c r="B31" s="19" t="n">
        <f aca="false">R31-N31</f>
        <v>3</v>
      </c>
      <c r="C31" s="18" t="str">
        <f aca="false">IF(B31&gt;=5,"SMASH BUY",IF(B31&gt;=2,"BUY",IF(B31&gt;=-1,"NEUTRAL",IF(B31&gt;=-4,"AVOID","DO NOT BID"))))</f>
        <v>BUY</v>
      </c>
      <c r="D31" s="18" t="str">
        <f aca="false">IF(COUNTIFS('Auction Log'!$B$5:$B$304,A31,'Auction Log'!$D$5:$D$304,"&lt;&gt;",'Auction Log'!$E$5:$E$304,"&gt;0")=0,"Available",IFERROR(INDEX('Auction Log'!$D$5:$D$304,MATCH(1,('Auction Log'!$B$5:$B$304=A31)*('Auction Log'!$D$5:$D$304&lt;&gt;"")*('Auction Log'!$E$5:$E$304&gt;0),0)),"SOLD"))</f>
        <v>Available</v>
      </c>
      <c r="E31" s="19" t="str">
        <f aca="false">IF(COUNTIFS('Auction Log'!$B$5:$B$304,A31,'Auction Log'!$D$5:$D$304,"&lt;&gt;",'Auction Log'!$E$5:$E$304,"&gt;0")=0,"",IFERROR(INDEX('Auction Log'!$E$5:$E$304,MATCH(1,('Auction Log'!$B$5:$B$304=A31)*('Auction Log'!$D$5:$D$304&lt;&gt;"")*('Auction Log'!$E$5:$E$304&gt;0),0)),""))</f>
        <v/>
      </c>
      <c r="F31" s="18" t="s">
        <v>148</v>
      </c>
      <c r="G31" s="18" t="s">
        <v>26</v>
      </c>
      <c r="H31" s="18" t="n">
        <v>13</v>
      </c>
      <c r="I31" s="18" t="n">
        <v>29</v>
      </c>
      <c r="J31" s="18" t="n">
        <v>4</v>
      </c>
      <c r="K31" s="36" t="n">
        <v>243</v>
      </c>
      <c r="L31" s="36" t="n">
        <v>250</v>
      </c>
      <c r="M31" s="19" t="n">
        <v>30</v>
      </c>
      <c r="N31" s="19" t="n">
        <v>31</v>
      </c>
      <c r="O31" s="19" t="n">
        <v>0</v>
      </c>
      <c r="P31" s="19" t="n">
        <v>1</v>
      </c>
      <c r="Q31" s="19" t="n">
        <v>0</v>
      </c>
      <c r="R31" s="19" t="n">
        <v>34</v>
      </c>
      <c r="S31" s="19" t="n">
        <v>31</v>
      </c>
      <c r="T31" s="18" t="s">
        <v>125</v>
      </c>
      <c r="U31" s="32"/>
      <c r="V31" s="19" t="str">
        <f aca="false">IF(E31="","",R31-E31)</f>
        <v/>
      </c>
      <c r="W31" s="18" t="s">
        <v>98</v>
      </c>
      <c r="X31" s="4" t="n">
        <f aca="false">IF(AND(D31="Available",R31&gt;=55),ROW(),9999)</f>
        <v>9999</v>
      </c>
      <c r="Y31" s="4" t="n">
        <f aca="false">IF(AND(D31="Available",R31&gt;=40,R31&lt;55),ROW(),9999)</f>
        <v>9999</v>
      </c>
      <c r="Z31" s="4" t="n">
        <f aca="false">IF(AND(D31="Available",R31&gt;=25,R31&lt;40),ROW(),9999)</f>
        <v>31</v>
      </c>
      <c r="AA31" s="35" t="n">
        <f aca="false">IF(K31="","",IF(L31="",K31,ROUND(AVERAGE(K31,L31),0)))</f>
        <v>247</v>
      </c>
    </row>
    <row r="32" customFormat="false" ht="28.5" hidden="false" customHeight="true" outlineLevel="0" collapsed="false">
      <c r="A32" s="18" t="s">
        <v>149</v>
      </c>
      <c r="B32" s="19" t="n">
        <f aca="false">R32-N32</f>
        <v>2</v>
      </c>
      <c r="C32" s="18" t="str">
        <f aca="false">IF(B32&gt;=5,"SMASH BUY",IF(B32&gt;=2,"BUY",IF(B32&gt;=-1,"NEUTRAL",IF(B32&gt;=-4,"AVOID","DO NOT BID"))))</f>
        <v>BUY</v>
      </c>
      <c r="D32" s="18" t="str">
        <f aca="false">IF(COUNTIFS('Auction Log'!$B$5:$B$304,A32,'Auction Log'!$D$5:$D$304,"&lt;&gt;",'Auction Log'!$E$5:$E$304,"&gt;0")=0,"Available",IFERROR(INDEX('Auction Log'!$D$5:$D$304,MATCH(1,('Auction Log'!$B$5:$B$304=A32)*('Auction Log'!$D$5:$D$304&lt;&gt;"")*('Auction Log'!$E$5:$E$304&gt;0),0)),"SOLD"))</f>
        <v>Available</v>
      </c>
      <c r="E32" s="19" t="str">
        <f aca="false">IF(COUNTIFS('Auction Log'!$B$5:$B$304,A32,'Auction Log'!$D$5:$D$304,"&lt;&gt;",'Auction Log'!$E$5:$E$304,"&gt;0")=0,"",IFERROR(INDEX('Auction Log'!$E$5:$E$304,MATCH(1,('Auction Log'!$B$5:$B$304=A32)*('Auction Log'!$D$5:$D$304&lt;&gt;"")*('Auction Log'!$E$5:$E$304&gt;0),0)),""))</f>
        <v/>
      </c>
      <c r="F32" s="18" t="s">
        <v>150</v>
      </c>
      <c r="G32" s="18" t="s">
        <v>26</v>
      </c>
      <c r="H32" s="18" t="n">
        <v>8</v>
      </c>
      <c r="I32" s="18" t="n">
        <v>24</v>
      </c>
      <c r="J32" s="18" t="n">
        <v>4</v>
      </c>
      <c r="K32" s="36" t="n">
        <v>240</v>
      </c>
      <c r="L32" s="36" t="n">
        <v>246</v>
      </c>
      <c r="M32" s="19" t="n">
        <v>28</v>
      </c>
      <c r="N32" s="19" t="n">
        <v>30</v>
      </c>
      <c r="O32" s="19" t="n">
        <v>0</v>
      </c>
      <c r="P32" s="19" t="n">
        <v>1</v>
      </c>
      <c r="Q32" s="19" t="n">
        <v>1</v>
      </c>
      <c r="R32" s="19" t="n">
        <v>32</v>
      </c>
      <c r="S32" s="19" t="n">
        <v>29</v>
      </c>
      <c r="T32" s="18" t="s">
        <v>125</v>
      </c>
      <c r="U32" s="32" t="s">
        <v>151</v>
      </c>
      <c r="V32" s="19" t="str">
        <f aca="false">IF(E32="","",R32-E32)</f>
        <v/>
      </c>
      <c r="W32" s="18" t="s">
        <v>98</v>
      </c>
      <c r="X32" s="4" t="n">
        <f aca="false">IF(AND(D32="Available",R32&gt;=55),ROW(),9999)</f>
        <v>9999</v>
      </c>
      <c r="Y32" s="4" t="n">
        <f aca="false">IF(AND(D32="Available",R32&gt;=40,R32&lt;55),ROW(),9999)</f>
        <v>9999</v>
      </c>
      <c r="Z32" s="4" t="n">
        <f aca="false">IF(AND(D32="Available",R32&gt;=25,R32&lt;40),ROW(),9999)</f>
        <v>32</v>
      </c>
      <c r="AA32" s="35" t="n">
        <f aca="false">IF(K32="","",IF(L32="",K32,ROUND(AVERAGE(K32,L32),0)))</f>
        <v>243</v>
      </c>
    </row>
    <row r="33" customFormat="false" ht="15" hidden="false" customHeight="false" outlineLevel="0" collapsed="false">
      <c r="A33" s="18" t="s">
        <v>152</v>
      </c>
      <c r="B33" s="19" t="n">
        <f aca="false">R33-N33</f>
        <v>2</v>
      </c>
      <c r="C33" s="18" t="str">
        <f aca="false">IF(B33&gt;=5,"SMASH BUY",IF(B33&gt;=2,"BUY",IF(B33&gt;=-1,"NEUTRAL",IF(B33&gt;=-4,"AVOID","DO NOT BID"))))</f>
        <v>BUY</v>
      </c>
      <c r="D33" s="18" t="str">
        <f aca="false">IF(COUNTIFS('Auction Log'!$B$5:$B$304,A33,'Auction Log'!$D$5:$D$304,"&lt;&gt;",'Auction Log'!$E$5:$E$304,"&gt;0")=0,"Available",IFERROR(INDEX('Auction Log'!$D$5:$D$304,MATCH(1,('Auction Log'!$B$5:$B$304=A33)*('Auction Log'!$D$5:$D$304&lt;&gt;"")*('Auction Log'!$E$5:$E$304&gt;0),0)),"SOLD"))</f>
        <v>Available</v>
      </c>
      <c r="E33" s="19" t="str">
        <f aca="false">IF(COUNTIFS('Auction Log'!$B$5:$B$304,A33,'Auction Log'!$D$5:$D$304,"&lt;&gt;",'Auction Log'!$E$5:$E$304,"&gt;0")=0,"",IFERROR(INDEX('Auction Log'!$E$5:$E$304,MATCH(1,('Auction Log'!$B$5:$B$304=A33)*('Auction Log'!$D$5:$D$304&lt;&gt;"")*('Auction Log'!$E$5:$E$304&gt;0),0)),""))</f>
        <v/>
      </c>
      <c r="F33" s="18" t="s">
        <v>132</v>
      </c>
      <c r="G33" s="18" t="s">
        <v>26</v>
      </c>
      <c r="H33" s="18" t="n">
        <v>13</v>
      </c>
      <c r="I33" s="18" t="n">
        <v>30</v>
      </c>
      <c r="J33" s="18" t="n">
        <v>4</v>
      </c>
      <c r="K33" s="36" t="n">
        <v>242</v>
      </c>
      <c r="L33" s="36" t="n">
        <v>239</v>
      </c>
      <c r="M33" s="19" t="n">
        <v>23</v>
      </c>
      <c r="N33" s="19" t="n">
        <v>30</v>
      </c>
      <c r="O33" s="19" t="n">
        <v>-2</v>
      </c>
      <c r="P33" s="19" t="n">
        <v>2</v>
      </c>
      <c r="Q33" s="19" t="n">
        <v>0</v>
      </c>
      <c r="R33" s="19" t="n">
        <v>32</v>
      </c>
      <c r="S33" s="19" t="n">
        <v>29</v>
      </c>
      <c r="T33" s="18" t="s">
        <v>125</v>
      </c>
      <c r="U33" s="32"/>
      <c r="V33" s="19" t="str">
        <f aca="false">IF(E33="","",R33-E33)</f>
        <v/>
      </c>
      <c r="W33" s="18" t="s">
        <v>98</v>
      </c>
      <c r="X33" s="4" t="n">
        <f aca="false">IF(AND(D33="Available",R33&gt;=55),ROW(),9999)</f>
        <v>9999</v>
      </c>
      <c r="Y33" s="4" t="n">
        <f aca="false">IF(AND(D33="Available",R33&gt;=40,R33&lt;55),ROW(),9999)</f>
        <v>9999</v>
      </c>
      <c r="Z33" s="4" t="n">
        <f aca="false">IF(AND(D33="Available",R33&gt;=25,R33&lt;40),ROW(),9999)</f>
        <v>33</v>
      </c>
      <c r="AA33" s="35" t="n">
        <f aca="false">IF(K33="","",IF(L33="",K33,ROUND(AVERAGE(K33,L33),0)))</f>
        <v>241</v>
      </c>
    </row>
    <row r="34" customFormat="false" ht="15" hidden="false" customHeight="false" outlineLevel="0" collapsed="false">
      <c r="A34" s="18" t="s">
        <v>153</v>
      </c>
      <c r="B34" s="19" t="n">
        <f aca="false">R34-N34</f>
        <v>1</v>
      </c>
      <c r="C34" s="18" t="str">
        <f aca="false">IF(B34&gt;=5,"SMASH BUY",IF(B34&gt;=2,"BUY",IF(B34&gt;=-1,"NEUTRAL",IF(B34&gt;=-4,"AVOID","DO NOT BID"))))</f>
        <v>NEUTRAL</v>
      </c>
      <c r="D34" s="18" t="str">
        <f aca="false">IF(COUNTIFS('Auction Log'!$B$5:$B$304,A34,'Auction Log'!$D$5:$D$304,"&lt;&gt;",'Auction Log'!$E$5:$E$304,"&gt;0")=0,"Available",IFERROR(INDEX('Auction Log'!$D$5:$D$304,MATCH(1,('Auction Log'!$B$5:$B$304=A34)*('Auction Log'!$D$5:$D$304&lt;&gt;"")*('Auction Log'!$E$5:$E$304&gt;0),0)),"SOLD"))</f>
        <v>Available</v>
      </c>
      <c r="E34" s="19" t="str">
        <f aca="false">IF(COUNTIFS('Auction Log'!$B$5:$B$304,A34,'Auction Log'!$D$5:$D$304,"&lt;&gt;",'Auction Log'!$E$5:$E$304,"&gt;0")=0,"",IFERROR(INDEX('Auction Log'!$E$5:$E$304,MATCH(1,('Auction Log'!$B$5:$B$304=A34)*('Auction Log'!$D$5:$D$304&lt;&gt;"")*('Auction Log'!$E$5:$E$304&gt;0),0)),""))</f>
        <v/>
      </c>
      <c r="F34" s="18" t="s">
        <v>138</v>
      </c>
      <c r="G34" s="18" t="s">
        <v>26</v>
      </c>
      <c r="H34" s="18" t="n">
        <v>10</v>
      </c>
      <c r="I34" s="18" t="n">
        <v>22</v>
      </c>
      <c r="J34" s="18" t="n">
        <v>4</v>
      </c>
      <c r="K34" s="36" t="n">
        <v>237</v>
      </c>
      <c r="L34" s="36" t="n">
        <v>239</v>
      </c>
      <c r="M34" s="19" t="n">
        <v>22</v>
      </c>
      <c r="N34" s="19" t="n">
        <v>29</v>
      </c>
      <c r="O34" s="19" t="n">
        <v>-1</v>
      </c>
      <c r="P34" s="19" t="n">
        <v>1</v>
      </c>
      <c r="Q34" s="19" t="n">
        <v>0</v>
      </c>
      <c r="R34" s="19" t="n">
        <v>30</v>
      </c>
      <c r="S34" s="19" t="n">
        <v>27</v>
      </c>
      <c r="T34" s="18" t="s">
        <v>97</v>
      </c>
      <c r="U34" s="32"/>
      <c r="V34" s="19" t="str">
        <f aca="false">IF(E34="","",R34-E34)</f>
        <v/>
      </c>
      <c r="W34" s="18" t="s">
        <v>98</v>
      </c>
      <c r="X34" s="4" t="n">
        <f aca="false">IF(AND(D34="Available",R34&gt;=55),ROW(),9999)</f>
        <v>9999</v>
      </c>
      <c r="Y34" s="4" t="n">
        <f aca="false">IF(AND(D34="Available",R34&gt;=40,R34&lt;55),ROW(),9999)</f>
        <v>9999</v>
      </c>
      <c r="Z34" s="4" t="n">
        <f aca="false">IF(AND(D34="Available",R34&gt;=25,R34&lt;40),ROW(),9999)</f>
        <v>34</v>
      </c>
      <c r="AA34" s="35" t="n">
        <f aca="false">IF(K34="","",IF(L34="",K34,ROUND(AVERAGE(K34,L34),0)))</f>
        <v>238</v>
      </c>
    </row>
    <row r="35" customFormat="false" ht="15" hidden="false" customHeight="false" outlineLevel="0" collapsed="false">
      <c r="A35" s="18" t="s">
        <v>154</v>
      </c>
      <c r="B35" s="19" t="n">
        <f aca="false">R35-N35</f>
        <v>0</v>
      </c>
      <c r="C35" s="18" t="str">
        <f aca="false">IF(B35&gt;=5,"SMASH BUY",IF(B35&gt;=2,"BUY",IF(B35&gt;=-1,"NEUTRAL",IF(B35&gt;=-4,"AVOID","DO NOT BID"))))</f>
        <v>NEUTRAL</v>
      </c>
      <c r="D35" s="18" t="str">
        <f aca="false">IF(COUNTIFS('Auction Log'!$B$5:$B$304,A35,'Auction Log'!$D$5:$D$304,"&lt;&gt;",'Auction Log'!$E$5:$E$304,"&gt;0")=0,"Available",IFERROR(INDEX('Auction Log'!$D$5:$D$304,MATCH(1,('Auction Log'!$B$5:$B$304=A35)*('Auction Log'!$D$5:$D$304&lt;&gt;"")*('Auction Log'!$E$5:$E$304&gt;0),0)),"SOLD"))</f>
        <v>Available</v>
      </c>
      <c r="E35" s="19" t="str">
        <f aca="false">IF(COUNTIFS('Auction Log'!$B$5:$B$304,A35,'Auction Log'!$D$5:$D$304,"&lt;&gt;",'Auction Log'!$E$5:$E$304,"&gt;0")=0,"",IFERROR(INDEX('Auction Log'!$E$5:$E$304,MATCH(1,('Auction Log'!$B$5:$B$304=A35)*('Auction Log'!$D$5:$D$304&lt;&gt;"")*('Auction Log'!$E$5:$E$304&gt;0),0)),""))</f>
        <v/>
      </c>
      <c r="F35" s="18" t="s">
        <v>122</v>
      </c>
      <c r="G35" s="18" t="s">
        <v>16</v>
      </c>
      <c r="H35" s="18" t="n">
        <v>7</v>
      </c>
      <c r="I35" s="18" t="n">
        <v>26</v>
      </c>
      <c r="J35" s="18" t="n">
        <v>4</v>
      </c>
      <c r="K35" s="36" t="n">
        <v>372</v>
      </c>
      <c r="L35" s="36" t="n">
        <v>369</v>
      </c>
      <c r="M35" s="19" t="n">
        <v>22</v>
      </c>
      <c r="N35" s="19" t="n">
        <v>30</v>
      </c>
      <c r="O35" s="19" t="n">
        <v>-2</v>
      </c>
      <c r="P35" s="19" t="n">
        <v>1</v>
      </c>
      <c r="Q35" s="19" t="n">
        <v>0</v>
      </c>
      <c r="R35" s="19" t="n">
        <v>30</v>
      </c>
      <c r="S35" s="19" t="n">
        <v>27</v>
      </c>
      <c r="T35" s="18" t="s">
        <v>125</v>
      </c>
      <c r="U35" s="32"/>
      <c r="V35" s="19" t="str">
        <f aca="false">IF(E35="","",R35-E35)</f>
        <v/>
      </c>
      <c r="W35" s="18" t="s">
        <v>98</v>
      </c>
      <c r="X35" s="4" t="n">
        <f aca="false">IF(AND(D35="Available",R35&gt;=55),ROW(),9999)</f>
        <v>9999</v>
      </c>
      <c r="Y35" s="4" t="n">
        <f aca="false">IF(AND(D35="Available",R35&gt;=40,R35&lt;55),ROW(),9999)</f>
        <v>9999</v>
      </c>
      <c r="Z35" s="4" t="n">
        <f aca="false">IF(AND(D35="Available",R35&gt;=25,R35&lt;40),ROW(),9999)</f>
        <v>35</v>
      </c>
      <c r="AA35" s="35" t="n">
        <f aca="false">IF(K35="","",IF(L35="",K35,ROUND(AVERAGE(K35,L35),0)))</f>
        <v>371</v>
      </c>
    </row>
    <row r="36" customFormat="false" ht="15" hidden="false" customHeight="false" outlineLevel="0" collapsed="false">
      <c r="A36" s="18" t="s">
        <v>155</v>
      </c>
      <c r="B36" s="19" t="n">
        <f aca="false">R36-N36</f>
        <v>2</v>
      </c>
      <c r="C36" s="18" t="str">
        <f aca="false">IF(B36&gt;=5,"SMASH BUY",IF(B36&gt;=2,"BUY",IF(B36&gt;=-1,"NEUTRAL",IF(B36&gt;=-4,"AVOID","DO NOT BID"))))</f>
        <v>BUY</v>
      </c>
      <c r="D36" s="18" t="str">
        <f aca="false">IF(COUNTIFS('Auction Log'!$B$5:$B$304,A36,'Auction Log'!$D$5:$D$304,"&lt;&gt;",'Auction Log'!$E$5:$E$304,"&gt;0")=0,"Available",IFERROR(INDEX('Auction Log'!$D$5:$D$304,MATCH(1,('Auction Log'!$B$5:$B$304=A36)*('Auction Log'!$D$5:$D$304&lt;&gt;"")*('Auction Log'!$E$5:$E$304&gt;0),0)),"SOLD"))</f>
        <v>Available</v>
      </c>
      <c r="E36" s="19" t="str">
        <f aca="false">IF(COUNTIFS('Auction Log'!$B$5:$B$304,A36,'Auction Log'!$D$5:$D$304,"&lt;&gt;",'Auction Log'!$E$5:$E$304,"&gt;0")=0,"",IFERROR(INDEX('Auction Log'!$E$5:$E$304,MATCH(1,('Auction Log'!$B$5:$B$304=A36)*('Auction Log'!$D$5:$D$304&lt;&gt;"")*('Auction Log'!$E$5:$E$304&gt;0),0)),""))</f>
        <v/>
      </c>
      <c r="F36" s="18" t="s">
        <v>156</v>
      </c>
      <c r="G36" s="18" t="s">
        <v>26</v>
      </c>
      <c r="H36" s="18" t="n">
        <v>5</v>
      </c>
      <c r="I36" s="18" t="n">
        <v>32</v>
      </c>
      <c r="J36" s="18" t="n">
        <v>4</v>
      </c>
      <c r="K36" s="36" t="n">
        <v>234</v>
      </c>
      <c r="L36" s="36" t="n">
        <v>236</v>
      </c>
      <c r="M36" s="19" t="n">
        <v>24</v>
      </c>
      <c r="N36" s="19" t="n">
        <v>28</v>
      </c>
      <c r="O36" s="19" t="n">
        <v>-1</v>
      </c>
      <c r="P36" s="19" t="n">
        <v>2</v>
      </c>
      <c r="Q36" s="19" t="n">
        <v>0</v>
      </c>
      <c r="R36" s="19" t="n">
        <v>30</v>
      </c>
      <c r="S36" s="19" t="n">
        <v>27</v>
      </c>
      <c r="T36" s="18" t="s">
        <v>125</v>
      </c>
      <c r="U36" s="32"/>
      <c r="V36" s="19" t="str">
        <f aca="false">IF(E36="","",R36-E36)</f>
        <v/>
      </c>
      <c r="W36" s="18" t="s">
        <v>98</v>
      </c>
      <c r="X36" s="4" t="n">
        <f aca="false">IF(AND(D36="Available",R36&gt;=55),ROW(),9999)</f>
        <v>9999</v>
      </c>
      <c r="Y36" s="4" t="n">
        <f aca="false">IF(AND(D36="Available",R36&gt;=40,R36&lt;55),ROW(),9999)</f>
        <v>9999</v>
      </c>
      <c r="Z36" s="4" t="n">
        <f aca="false">IF(AND(D36="Available",R36&gt;=25,R36&lt;40),ROW(),9999)</f>
        <v>36</v>
      </c>
      <c r="AA36" s="35" t="n">
        <f aca="false">IF(K36="","",IF(L36="",K36,ROUND(AVERAGE(K36,L36),0)))</f>
        <v>235</v>
      </c>
    </row>
    <row r="37" customFormat="false" ht="15" hidden="false" customHeight="false" outlineLevel="0" collapsed="false">
      <c r="A37" s="18" t="s">
        <v>157</v>
      </c>
      <c r="B37" s="19" t="n">
        <f aca="false">R37-N37</f>
        <v>1</v>
      </c>
      <c r="C37" s="18" t="str">
        <f aca="false">IF(B37&gt;=5,"SMASH BUY",IF(B37&gt;=2,"BUY",IF(B37&gt;=-1,"NEUTRAL",IF(B37&gt;=-4,"AVOID","DO NOT BID"))))</f>
        <v>NEUTRAL</v>
      </c>
      <c r="D37" s="18" t="str">
        <f aca="false">IF(COUNTIFS('Auction Log'!$B$5:$B$304,A37,'Auction Log'!$D$5:$D$304,"&lt;&gt;",'Auction Log'!$E$5:$E$304,"&gt;0")=0,"Available",IFERROR(INDEX('Auction Log'!$D$5:$D$304,MATCH(1,('Auction Log'!$B$5:$B$304=A37)*('Auction Log'!$D$5:$D$304&lt;&gt;"")*('Auction Log'!$E$5:$E$304&gt;0),0)),"SOLD"))</f>
        <v>Available</v>
      </c>
      <c r="E37" s="19" t="str">
        <f aca="false">IF(COUNTIFS('Auction Log'!$B$5:$B$304,A37,'Auction Log'!$D$5:$D$304,"&lt;&gt;",'Auction Log'!$E$5:$E$304,"&gt;0")=0,"",IFERROR(INDEX('Auction Log'!$E$5:$E$304,MATCH(1,('Auction Log'!$B$5:$B$304=A37)*('Auction Log'!$D$5:$D$304&lt;&gt;"")*('Auction Log'!$E$5:$E$304&gt;0),0)),""))</f>
        <v/>
      </c>
      <c r="F37" s="18" t="s">
        <v>158</v>
      </c>
      <c r="G37" s="18" t="s">
        <v>21</v>
      </c>
      <c r="H37" s="18" t="n">
        <v>11</v>
      </c>
      <c r="I37" s="18" t="n">
        <v>43</v>
      </c>
      <c r="J37" s="18" t="n">
        <v>5</v>
      </c>
      <c r="K37" s="36" t="n">
        <v>249</v>
      </c>
      <c r="L37" s="36" t="n">
        <v>259</v>
      </c>
      <c r="M37" s="19" t="n">
        <v>27</v>
      </c>
      <c r="N37" s="19" t="n">
        <v>29</v>
      </c>
      <c r="O37" s="19" t="n">
        <v>-1</v>
      </c>
      <c r="P37" s="19" t="n">
        <v>1</v>
      </c>
      <c r="Q37" s="19" t="n">
        <v>0</v>
      </c>
      <c r="R37" s="19" t="n">
        <v>30</v>
      </c>
      <c r="S37" s="19" t="n">
        <v>27</v>
      </c>
      <c r="T37" s="18" t="s">
        <v>125</v>
      </c>
      <c r="U37" s="32"/>
      <c r="V37" s="19" t="str">
        <f aca="false">IF(E37="","",R37-E37)</f>
        <v/>
      </c>
      <c r="W37" s="18" t="s">
        <v>98</v>
      </c>
      <c r="X37" s="4" t="n">
        <f aca="false">IF(AND(D37="Available",R37&gt;=55),ROW(),9999)</f>
        <v>9999</v>
      </c>
      <c r="Y37" s="4" t="n">
        <f aca="false">IF(AND(D37="Available",R37&gt;=40,R37&lt;55),ROW(),9999)</f>
        <v>9999</v>
      </c>
      <c r="Z37" s="4" t="n">
        <f aca="false">IF(AND(D37="Available",R37&gt;=25,R37&lt;40),ROW(),9999)</f>
        <v>37</v>
      </c>
      <c r="AA37" s="35" t="n">
        <f aca="false">IF(K37="","",IF(L37="",K37,ROUND(AVERAGE(K37,L37),0)))</f>
        <v>254</v>
      </c>
    </row>
    <row r="38" customFormat="false" ht="28.5" hidden="false" customHeight="true" outlineLevel="0" collapsed="false">
      <c r="A38" s="18" t="s">
        <v>159</v>
      </c>
      <c r="B38" s="19" t="n">
        <f aca="false">R38-N38</f>
        <v>-1</v>
      </c>
      <c r="C38" s="18" t="str">
        <f aca="false">IF(B38&gt;=5,"SMASH BUY",IF(B38&gt;=2,"BUY",IF(B38&gt;=-1,"NEUTRAL",IF(B38&gt;=-4,"AVOID","DO NOT BID"))))</f>
        <v>NEUTRAL</v>
      </c>
      <c r="D38" s="18" t="str">
        <f aca="false">IF(COUNTIFS('Auction Log'!$B$5:$B$304,A38,'Auction Log'!$D$5:$D$304,"&lt;&gt;",'Auction Log'!$E$5:$E$304,"&gt;0")=0,"Available",IFERROR(INDEX('Auction Log'!$D$5:$D$304,MATCH(1,('Auction Log'!$B$5:$B$304=A38)*('Auction Log'!$D$5:$D$304&lt;&gt;"")*('Auction Log'!$E$5:$E$304&gt;0),0)),"SOLD"))</f>
        <v>Available</v>
      </c>
      <c r="E38" s="19" t="str">
        <f aca="false">IF(COUNTIFS('Auction Log'!$B$5:$B$304,A38,'Auction Log'!$D$5:$D$304,"&lt;&gt;",'Auction Log'!$E$5:$E$304,"&gt;0")=0,"",IFERROR(INDEX('Auction Log'!$E$5:$E$304,MATCH(1,('Auction Log'!$B$5:$B$304=A38)*('Auction Log'!$D$5:$D$304&lt;&gt;"")*('Auction Log'!$E$5:$E$304&gt;0),0)),""))</f>
        <v/>
      </c>
      <c r="F38" s="18" t="s">
        <v>136</v>
      </c>
      <c r="G38" s="18" t="s">
        <v>21</v>
      </c>
      <c r="H38" s="18" t="n">
        <v>14</v>
      </c>
      <c r="I38" s="18" t="n">
        <v>41</v>
      </c>
      <c r="J38" s="18" t="n">
        <v>5</v>
      </c>
      <c r="K38" s="36" t="n">
        <v>255</v>
      </c>
      <c r="L38" s="36" t="n">
        <v>278</v>
      </c>
      <c r="M38" s="19" t="n">
        <v>42</v>
      </c>
      <c r="N38" s="19" t="n">
        <v>30</v>
      </c>
      <c r="O38" s="19" t="n">
        <v>2</v>
      </c>
      <c r="P38" s="19" t="n">
        <v>1</v>
      </c>
      <c r="Q38" s="19" t="n">
        <v>5</v>
      </c>
      <c r="R38" s="19" t="n">
        <v>29</v>
      </c>
      <c r="S38" s="19" t="n">
        <v>26</v>
      </c>
      <c r="T38" s="18" t="s">
        <v>107</v>
      </c>
      <c r="U38" s="32" t="s">
        <v>160</v>
      </c>
      <c r="V38" s="19" t="str">
        <f aca="false">IF(E38="","",R38-E38)</f>
        <v/>
      </c>
      <c r="W38" s="18" t="s">
        <v>98</v>
      </c>
      <c r="X38" s="4" t="n">
        <f aca="false">IF(AND(D38="Available",R38&gt;=55),ROW(),9999)</f>
        <v>9999</v>
      </c>
      <c r="Y38" s="4" t="n">
        <f aca="false">IF(AND(D38="Available",R38&gt;=40,R38&lt;55),ROW(),9999)</f>
        <v>9999</v>
      </c>
      <c r="Z38" s="4" t="n">
        <f aca="false">IF(AND(D38="Available",R38&gt;=25,R38&lt;40),ROW(),9999)</f>
        <v>38</v>
      </c>
      <c r="AA38" s="35" t="n">
        <f aca="false">IF(K38="","",IF(L38="",K38,ROUND(AVERAGE(K38,L38),0)))</f>
        <v>267</v>
      </c>
    </row>
    <row r="39" customFormat="false" ht="15" hidden="false" customHeight="false" outlineLevel="0" collapsed="false">
      <c r="A39" s="18" t="s">
        <v>161</v>
      </c>
      <c r="B39" s="19" t="n">
        <f aca="false">R39-N39</f>
        <v>0</v>
      </c>
      <c r="C39" s="18" t="str">
        <f aca="false">IF(B39&gt;=5,"SMASH BUY",IF(B39&gt;=2,"BUY",IF(B39&gt;=-1,"NEUTRAL",IF(B39&gt;=-4,"AVOID","DO NOT BID"))))</f>
        <v>NEUTRAL</v>
      </c>
      <c r="D39" s="18" t="str">
        <f aca="false">IF(COUNTIFS('Auction Log'!$B$5:$B$304,A39,'Auction Log'!$D$5:$D$304,"&lt;&gt;",'Auction Log'!$E$5:$E$304,"&gt;0")=0,"Available",IFERROR(INDEX('Auction Log'!$D$5:$D$304,MATCH(1,('Auction Log'!$B$5:$B$304=A39)*('Auction Log'!$D$5:$D$304&lt;&gt;"")*('Auction Log'!$E$5:$E$304&gt;0),0)),"SOLD"))</f>
        <v>Available</v>
      </c>
      <c r="E39" s="19" t="str">
        <f aca="false">IF(COUNTIFS('Auction Log'!$B$5:$B$304,A39,'Auction Log'!$D$5:$D$304,"&lt;&gt;",'Auction Log'!$E$5:$E$304,"&gt;0")=0,"",IFERROR(INDEX('Auction Log'!$E$5:$E$304,MATCH(1,('Auction Log'!$B$5:$B$304=A39)*('Auction Log'!$D$5:$D$304&lt;&gt;"")*('Auction Log'!$E$5:$E$304&gt;0),0)),""))</f>
        <v/>
      </c>
      <c r="F39" s="18" t="s">
        <v>148</v>
      </c>
      <c r="G39" s="18" t="s">
        <v>21</v>
      </c>
      <c r="H39" s="18" t="n">
        <v>13</v>
      </c>
      <c r="I39" s="18" t="n">
        <v>39</v>
      </c>
      <c r="J39" s="18" t="n">
        <v>5</v>
      </c>
      <c r="K39" s="36" t="n">
        <v>245</v>
      </c>
      <c r="L39" s="36" t="n">
        <v>274</v>
      </c>
      <c r="M39" s="19" t="n">
        <v>32</v>
      </c>
      <c r="N39" s="19" t="n">
        <v>28</v>
      </c>
      <c r="O39" s="19" t="n">
        <v>1</v>
      </c>
      <c r="P39" s="19" t="n">
        <v>2</v>
      </c>
      <c r="Q39" s="19" t="n">
        <v>4</v>
      </c>
      <c r="R39" s="19" t="n">
        <v>28</v>
      </c>
      <c r="S39" s="19" t="n">
        <v>25</v>
      </c>
      <c r="T39" s="18" t="s">
        <v>107</v>
      </c>
      <c r="U39" s="32" t="s">
        <v>162</v>
      </c>
      <c r="V39" s="19" t="str">
        <f aca="false">IF(E39="","",R39-E39)</f>
        <v/>
      </c>
      <c r="W39" s="18" t="s">
        <v>98</v>
      </c>
      <c r="X39" s="4" t="n">
        <f aca="false">IF(AND(D39="Available",R39&gt;=55),ROW(),9999)</f>
        <v>9999</v>
      </c>
      <c r="Y39" s="4" t="n">
        <f aca="false">IF(AND(D39="Available",R39&gt;=40,R39&lt;55),ROW(),9999)</f>
        <v>9999</v>
      </c>
      <c r="Z39" s="4" t="n">
        <f aca="false">IF(AND(D39="Available",R39&gt;=25,R39&lt;40),ROW(),9999)</f>
        <v>39</v>
      </c>
      <c r="AA39" s="35" t="n">
        <f aca="false">IF(K39="","",IF(L39="",K39,ROUND(AVERAGE(K39,L39),0)))</f>
        <v>260</v>
      </c>
    </row>
    <row r="40" customFormat="false" ht="15" hidden="false" customHeight="false" outlineLevel="0" collapsed="false">
      <c r="A40" s="18" t="s">
        <v>163</v>
      </c>
      <c r="B40" s="19" t="n">
        <f aca="false">R40-N40</f>
        <v>3</v>
      </c>
      <c r="C40" s="18" t="str">
        <f aca="false">IF(B40&gt;=5,"SMASH BUY",IF(B40&gt;=2,"BUY",IF(B40&gt;=-1,"NEUTRAL",IF(B40&gt;=-4,"AVOID","DO NOT BID"))))</f>
        <v>BUY</v>
      </c>
      <c r="D40" s="18" t="str">
        <f aca="false">IF(COUNTIFS('Auction Log'!$B$5:$B$304,A40,'Auction Log'!$D$5:$D$304,"&lt;&gt;",'Auction Log'!$E$5:$E$304,"&gt;0")=0,"Available",IFERROR(INDEX('Auction Log'!$D$5:$D$304,MATCH(1,('Auction Log'!$B$5:$B$304=A40)*('Auction Log'!$D$5:$D$304&lt;&gt;"")*('Auction Log'!$E$5:$E$304&gt;0),0)),"SOLD"))</f>
        <v>Available</v>
      </c>
      <c r="E40" s="19" t="str">
        <f aca="false">IF(COUNTIFS('Auction Log'!$B$5:$B$304,A40,'Auction Log'!$D$5:$D$304,"&lt;&gt;",'Auction Log'!$E$5:$E$304,"&gt;0")=0,"",IFERROR(INDEX('Auction Log'!$E$5:$E$304,MATCH(1,('Auction Log'!$B$5:$B$304=A40)*('Auction Log'!$D$5:$D$304&lt;&gt;"")*('Auction Log'!$E$5:$E$304&gt;0),0)),""))</f>
        <v/>
      </c>
      <c r="F40" s="18" t="s">
        <v>115</v>
      </c>
      <c r="G40" s="18" t="s">
        <v>21</v>
      </c>
      <c r="H40" s="18" t="n">
        <v>14</v>
      </c>
      <c r="I40" s="18" t="n">
        <v>44</v>
      </c>
      <c r="J40" s="18" t="n">
        <v>5</v>
      </c>
      <c r="K40" s="36" t="n">
        <v>234</v>
      </c>
      <c r="L40" s="36" t="n">
        <v>259</v>
      </c>
      <c r="M40" s="19" t="n">
        <v>26</v>
      </c>
      <c r="N40" s="19" t="n">
        <v>25</v>
      </c>
      <c r="O40" s="19" t="n">
        <v>0</v>
      </c>
      <c r="P40" s="19" t="n">
        <v>2</v>
      </c>
      <c r="Q40" s="19" t="n">
        <v>0</v>
      </c>
      <c r="R40" s="19" t="n">
        <v>28</v>
      </c>
      <c r="S40" s="19" t="n">
        <v>25</v>
      </c>
      <c r="T40" s="18" t="s">
        <v>97</v>
      </c>
      <c r="U40" s="32"/>
      <c r="V40" s="19" t="str">
        <f aca="false">IF(E40="","",R40-E40)</f>
        <v/>
      </c>
      <c r="W40" s="18" t="s">
        <v>98</v>
      </c>
      <c r="X40" s="4" t="n">
        <f aca="false">IF(AND(D40="Available",R40&gt;=55),ROW(),9999)</f>
        <v>9999</v>
      </c>
      <c r="Y40" s="4" t="n">
        <f aca="false">IF(AND(D40="Available",R40&gt;=40,R40&lt;55),ROW(),9999)</f>
        <v>9999</v>
      </c>
      <c r="Z40" s="4" t="n">
        <f aca="false">IF(AND(D40="Available",R40&gt;=25,R40&lt;40),ROW(),9999)</f>
        <v>40</v>
      </c>
      <c r="AA40" s="35" t="n">
        <f aca="false">IF(K40="","",IF(L40="",K40,ROUND(AVERAGE(K40,L40),0)))</f>
        <v>247</v>
      </c>
    </row>
    <row r="41" customFormat="false" ht="15" hidden="false" customHeight="false" outlineLevel="0" collapsed="false">
      <c r="A41" s="18" t="s">
        <v>164</v>
      </c>
      <c r="B41" s="19" t="n">
        <f aca="false">R41-N41</f>
        <v>0</v>
      </c>
      <c r="C41" s="18" t="str">
        <f aca="false">IF(B41&gt;=5,"SMASH BUY",IF(B41&gt;=2,"BUY",IF(B41&gt;=-1,"NEUTRAL",IF(B41&gt;=-4,"AVOID","DO NOT BID"))))</f>
        <v>NEUTRAL</v>
      </c>
      <c r="D41" s="18" t="str">
        <f aca="false">IF(COUNTIFS('Auction Log'!$B$5:$B$304,A41,'Auction Log'!$D$5:$D$304,"&lt;&gt;",'Auction Log'!$E$5:$E$304,"&gt;0")=0,"Available",IFERROR(INDEX('Auction Log'!$D$5:$D$304,MATCH(1,('Auction Log'!$B$5:$B$304=A41)*('Auction Log'!$D$5:$D$304&lt;&gt;"")*('Auction Log'!$E$5:$E$304&gt;0),0)),"SOLD"))</f>
        <v>Available</v>
      </c>
      <c r="E41" s="19" t="str">
        <f aca="false">IF(COUNTIFS('Auction Log'!$B$5:$B$304,A41,'Auction Log'!$D$5:$D$304,"&lt;&gt;",'Auction Log'!$E$5:$E$304,"&gt;0")=0,"",IFERROR(INDEX('Auction Log'!$E$5:$E$304,MATCH(1,('Auction Log'!$B$5:$B$304=A41)*('Auction Log'!$D$5:$D$304&lt;&gt;"")*('Auction Log'!$E$5:$E$304&gt;0),0)),""))</f>
        <v/>
      </c>
      <c r="F41" s="18" t="s">
        <v>106</v>
      </c>
      <c r="G41" s="18" t="s">
        <v>21</v>
      </c>
      <c r="H41" s="18" t="n">
        <v>11</v>
      </c>
      <c r="I41" s="18" t="n">
        <v>42</v>
      </c>
      <c r="J41" s="18" t="n">
        <v>5</v>
      </c>
      <c r="K41" s="36" t="n">
        <v>240</v>
      </c>
      <c r="L41" s="36" t="n">
        <v>232</v>
      </c>
      <c r="M41" s="19" t="n">
        <v>21</v>
      </c>
      <c r="N41" s="19" t="n">
        <v>27</v>
      </c>
      <c r="O41" s="19" t="n">
        <v>-2</v>
      </c>
      <c r="P41" s="19" t="n">
        <v>1</v>
      </c>
      <c r="Q41" s="19" t="n">
        <v>0</v>
      </c>
      <c r="R41" s="19" t="n">
        <v>27</v>
      </c>
      <c r="S41" s="19" t="n">
        <v>24</v>
      </c>
      <c r="T41" s="18" t="s">
        <v>125</v>
      </c>
      <c r="U41" s="32"/>
      <c r="V41" s="19" t="str">
        <f aca="false">IF(E41="","",R41-E41)</f>
        <v/>
      </c>
      <c r="W41" s="18" t="s">
        <v>98</v>
      </c>
      <c r="X41" s="4" t="n">
        <f aca="false">IF(AND(D41="Available",R41&gt;=55),ROW(),9999)</f>
        <v>9999</v>
      </c>
      <c r="Y41" s="4" t="n">
        <f aca="false">IF(AND(D41="Available",R41&gt;=40,R41&lt;55),ROW(),9999)</f>
        <v>9999</v>
      </c>
      <c r="Z41" s="4" t="n">
        <f aca="false">IF(AND(D41="Available",R41&gt;=25,R41&lt;40),ROW(),9999)</f>
        <v>41</v>
      </c>
      <c r="AA41" s="35" t="n">
        <f aca="false">IF(K41="","",IF(L41="",K41,ROUND(AVERAGE(K41,L41),0)))</f>
        <v>236</v>
      </c>
    </row>
    <row r="42" customFormat="false" ht="15" hidden="false" customHeight="false" outlineLevel="0" collapsed="false">
      <c r="A42" s="18" t="s">
        <v>165</v>
      </c>
      <c r="B42" s="19" t="n">
        <f aca="false">R42-N42</f>
        <v>1</v>
      </c>
      <c r="C42" s="18" t="str">
        <f aca="false">IF(B42&gt;=5,"SMASH BUY",IF(B42&gt;=2,"BUY",IF(B42&gt;=-1,"NEUTRAL",IF(B42&gt;=-4,"AVOID","DO NOT BID"))))</f>
        <v>NEUTRAL</v>
      </c>
      <c r="D42" s="18" t="str">
        <f aca="false">IF(COUNTIFS('Auction Log'!$B$5:$B$304,A42,'Auction Log'!$D$5:$D$304,"&lt;&gt;",'Auction Log'!$E$5:$E$304,"&gt;0")=0,"Available",IFERROR(INDEX('Auction Log'!$D$5:$D$304,MATCH(1,('Auction Log'!$B$5:$B$304=A42)*('Auction Log'!$D$5:$D$304&lt;&gt;"")*('Auction Log'!$E$5:$E$304&gt;0),0)),"SOLD"))</f>
        <v>Available</v>
      </c>
      <c r="E42" s="19" t="str">
        <f aca="false">IF(COUNTIFS('Auction Log'!$B$5:$B$304,A42,'Auction Log'!$D$5:$D$304,"&lt;&gt;",'Auction Log'!$E$5:$E$304,"&gt;0")=0,"",IFERROR(INDEX('Auction Log'!$E$5:$E$304,MATCH(1,('Auction Log'!$B$5:$B$304=A42)*('Auction Log'!$D$5:$D$304&lt;&gt;"")*('Auction Log'!$E$5:$E$304&gt;0),0)),""))</f>
        <v/>
      </c>
      <c r="F42" s="18" t="s">
        <v>144</v>
      </c>
      <c r="G42" s="18" t="s">
        <v>26</v>
      </c>
      <c r="H42" s="18" t="n">
        <v>7</v>
      </c>
      <c r="I42" s="18" t="n">
        <v>34</v>
      </c>
      <c r="J42" s="18" t="n">
        <v>4</v>
      </c>
      <c r="K42" s="36" t="n">
        <v>220</v>
      </c>
      <c r="L42" s="36" t="n">
        <v>221</v>
      </c>
      <c r="M42" s="19" t="n">
        <v>17</v>
      </c>
      <c r="N42" s="19" t="n">
        <v>24</v>
      </c>
      <c r="O42" s="19" t="n">
        <v>-1</v>
      </c>
      <c r="P42" s="19" t="n">
        <v>1</v>
      </c>
      <c r="Q42" s="19" t="n">
        <v>0</v>
      </c>
      <c r="R42" s="19" t="n">
        <v>25</v>
      </c>
      <c r="S42" s="19" t="n">
        <v>22</v>
      </c>
      <c r="T42" s="18" t="s">
        <v>125</v>
      </c>
      <c r="U42" s="32"/>
      <c r="V42" s="19" t="str">
        <f aca="false">IF(E42="","",R42-E42)</f>
        <v/>
      </c>
      <c r="W42" s="18" t="s">
        <v>98</v>
      </c>
      <c r="X42" s="4" t="n">
        <f aca="false">IF(AND(D42="Available",R42&gt;=55),ROW(),9999)</f>
        <v>9999</v>
      </c>
      <c r="Y42" s="4" t="n">
        <f aca="false">IF(AND(D42="Available",R42&gt;=40,R42&lt;55),ROW(),9999)</f>
        <v>9999</v>
      </c>
      <c r="Z42" s="4" t="n">
        <f aca="false">IF(AND(D42="Available",R42&gt;=25,R42&lt;40),ROW(),9999)</f>
        <v>42</v>
      </c>
      <c r="AA42" s="35" t="n">
        <f aca="false">IF(K42="","",IF(L42="",K42,ROUND(AVERAGE(K42,L42),0)))</f>
        <v>221</v>
      </c>
    </row>
    <row r="43" customFormat="false" ht="15" hidden="false" customHeight="false" outlineLevel="0" collapsed="false">
      <c r="A43" s="18" t="s">
        <v>166</v>
      </c>
      <c r="B43" s="19" t="n">
        <f aca="false">R43-N43</f>
        <v>0</v>
      </c>
      <c r="C43" s="18" t="str">
        <f aca="false">IF(B43&gt;=5,"SMASH BUY",IF(B43&gt;=2,"BUY",IF(B43&gt;=-1,"NEUTRAL",IF(B43&gt;=-4,"AVOID","DO NOT BID"))))</f>
        <v>NEUTRAL</v>
      </c>
      <c r="D43" s="18" t="str">
        <f aca="false">IF(COUNTIFS('Auction Log'!$B$5:$B$304,A43,'Auction Log'!$D$5:$D$304,"&lt;&gt;",'Auction Log'!$E$5:$E$304,"&gt;0")=0,"Available",IFERROR(INDEX('Auction Log'!$D$5:$D$304,MATCH(1,('Auction Log'!$B$5:$B$304=A43)*('Auction Log'!$D$5:$D$304&lt;&gt;"")*('Auction Log'!$E$5:$E$304&gt;0),0)),"SOLD"))</f>
        <v>Available</v>
      </c>
      <c r="E43" s="19" t="str">
        <f aca="false">IF(COUNTIFS('Auction Log'!$B$5:$B$304,A43,'Auction Log'!$D$5:$D$304,"&lt;&gt;",'Auction Log'!$E$5:$E$304,"&gt;0")=0,"",IFERROR(INDEX('Auction Log'!$E$5:$E$304,MATCH(1,('Auction Log'!$B$5:$B$304=A43)*('Auction Log'!$D$5:$D$304&lt;&gt;"")*('Auction Log'!$E$5:$E$304&gt;0),0)),""))</f>
        <v/>
      </c>
      <c r="F43" s="18" t="s">
        <v>100</v>
      </c>
      <c r="G43" s="18" t="s">
        <v>26</v>
      </c>
      <c r="H43" s="18" t="n">
        <v>6</v>
      </c>
      <c r="I43" s="18" t="n">
        <v>35</v>
      </c>
      <c r="J43" s="18" t="n">
        <v>4</v>
      </c>
      <c r="K43" s="36" t="n">
        <v>222</v>
      </c>
      <c r="L43" s="36" t="n">
        <v>219</v>
      </c>
      <c r="M43" s="19" t="n">
        <v>15</v>
      </c>
      <c r="N43" s="19" t="n">
        <v>25</v>
      </c>
      <c r="O43" s="19" t="n">
        <v>-2</v>
      </c>
      <c r="P43" s="19" t="n">
        <v>1</v>
      </c>
      <c r="Q43" s="19" t="n">
        <v>0</v>
      </c>
      <c r="R43" s="19" t="n">
        <v>25</v>
      </c>
      <c r="S43" s="19" t="n">
        <v>22</v>
      </c>
      <c r="T43" s="18" t="s">
        <v>125</v>
      </c>
      <c r="U43" s="32"/>
      <c r="V43" s="19" t="str">
        <f aca="false">IF(E43="","",R43-E43)</f>
        <v/>
      </c>
      <c r="W43" s="18" t="s">
        <v>98</v>
      </c>
      <c r="X43" s="4" t="n">
        <f aca="false">IF(AND(D43="Available",R43&gt;=55),ROW(),9999)</f>
        <v>9999</v>
      </c>
      <c r="Y43" s="4" t="n">
        <f aca="false">IF(AND(D43="Available",R43&gt;=40,R43&lt;55),ROW(),9999)</f>
        <v>9999</v>
      </c>
      <c r="Z43" s="4" t="n">
        <f aca="false">IF(AND(D43="Available",R43&gt;=25,R43&lt;40),ROW(),9999)</f>
        <v>43</v>
      </c>
      <c r="AA43" s="35" t="n">
        <f aca="false">IF(K43="","",IF(L43="",K43,ROUND(AVERAGE(K43,L43),0)))</f>
        <v>221</v>
      </c>
    </row>
    <row r="44" customFormat="false" ht="15" hidden="false" customHeight="false" outlineLevel="0" collapsed="false">
      <c r="A44" s="18" t="s">
        <v>167</v>
      </c>
      <c r="B44" s="19" t="n">
        <f aca="false">R44-N44</f>
        <v>0</v>
      </c>
      <c r="C44" s="18" t="str">
        <f aca="false">IF(B44&gt;=5,"SMASH BUY",IF(B44&gt;=2,"BUY",IF(B44&gt;=-1,"NEUTRAL",IF(B44&gt;=-4,"AVOID","DO NOT BID"))))</f>
        <v>NEUTRAL</v>
      </c>
      <c r="D44" s="18" t="str">
        <f aca="false">IF(COUNTIFS('Auction Log'!$B$5:$B$304,A44,'Auction Log'!$D$5:$D$304,"&lt;&gt;",'Auction Log'!$E$5:$E$304,"&gt;0")=0,"Available",IFERROR(INDEX('Auction Log'!$D$5:$D$304,MATCH(1,('Auction Log'!$B$5:$B$304=A44)*('Auction Log'!$D$5:$D$304&lt;&gt;"")*('Auction Log'!$E$5:$E$304&gt;0),0)),"SOLD"))</f>
        <v>Available</v>
      </c>
      <c r="E44" s="19" t="str">
        <f aca="false">IF(COUNTIFS('Auction Log'!$B$5:$B$304,A44,'Auction Log'!$D$5:$D$304,"&lt;&gt;",'Auction Log'!$E$5:$E$304,"&gt;0")=0,"",IFERROR(INDEX('Auction Log'!$E$5:$E$304,MATCH(1,('Auction Log'!$B$5:$B$304=A44)*('Auction Log'!$D$5:$D$304&lt;&gt;"")*('Auction Log'!$E$5:$E$304&gt;0),0)),""))</f>
        <v/>
      </c>
      <c r="F44" s="18" t="s">
        <v>128</v>
      </c>
      <c r="G44" s="18" t="s">
        <v>21</v>
      </c>
      <c r="H44" s="18" t="n">
        <v>8</v>
      </c>
      <c r="I44" s="18" t="n">
        <v>48</v>
      </c>
      <c r="J44" s="18" t="n">
        <v>5</v>
      </c>
      <c r="K44" s="36" t="n">
        <v>235</v>
      </c>
      <c r="L44" s="36" t="n">
        <v>246</v>
      </c>
      <c r="M44" s="19" t="n">
        <v>22</v>
      </c>
      <c r="N44" s="19" t="n">
        <v>25</v>
      </c>
      <c r="O44" s="19" t="n">
        <v>-2</v>
      </c>
      <c r="P44" s="19" t="n">
        <v>1</v>
      </c>
      <c r="Q44" s="19" t="n">
        <v>0</v>
      </c>
      <c r="R44" s="19" t="n">
        <v>25</v>
      </c>
      <c r="S44" s="19" t="n">
        <v>22</v>
      </c>
      <c r="T44" s="18" t="s">
        <v>125</v>
      </c>
      <c r="U44" s="32"/>
      <c r="V44" s="19" t="str">
        <f aca="false">IF(E44="","",R44-E44)</f>
        <v/>
      </c>
      <c r="W44" s="18" t="s">
        <v>98</v>
      </c>
      <c r="X44" s="4" t="n">
        <f aca="false">IF(AND(D44="Available",R44&gt;=55),ROW(),9999)</f>
        <v>9999</v>
      </c>
      <c r="Y44" s="4" t="n">
        <f aca="false">IF(AND(D44="Available",R44&gt;=40,R44&lt;55),ROW(),9999)</f>
        <v>9999</v>
      </c>
      <c r="Z44" s="4" t="n">
        <f aca="false">IF(AND(D44="Available",R44&gt;=25,R44&lt;40),ROW(),9999)</f>
        <v>44</v>
      </c>
      <c r="AA44" s="35" t="n">
        <f aca="false">IF(K44="","",IF(L44="",K44,ROUND(AVERAGE(K44,L44),0)))</f>
        <v>241</v>
      </c>
    </row>
    <row r="45" customFormat="false" ht="15" hidden="false" customHeight="false" outlineLevel="0" collapsed="false">
      <c r="A45" s="18" t="s">
        <v>168</v>
      </c>
      <c r="B45" s="19" t="n">
        <f aca="false">R45-N45</f>
        <v>0</v>
      </c>
      <c r="C45" s="18" t="str">
        <f aca="false">IF(B45&gt;=5,"SMASH BUY",IF(B45&gt;=2,"BUY",IF(B45&gt;=-1,"NEUTRAL",IF(B45&gt;=-4,"AVOID","DO NOT BID"))))</f>
        <v>NEUTRAL</v>
      </c>
      <c r="D45" s="18" t="str">
        <f aca="false">IF(COUNTIFS('Auction Log'!$B$5:$B$304,A45,'Auction Log'!$D$5:$D$304,"&lt;&gt;",'Auction Log'!$E$5:$E$304,"&gt;0")=0,"Available",IFERROR(INDEX('Auction Log'!$D$5:$D$304,MATCH(1,('Auction Log'!$B$5:$B$304=A45)*('Auction Log'!$D$5:$D$304&lt;&gt;"")*('Auction Log'!$E$5:$E$304&gt;0),0)),"SOLD"))</f>
        <v>Available</v>
      </c>
      <c r="E45" s="19" t="str">
        <f aca="false">IF(COUNTIFS('Auction Log'!$B$5:$B$304,A45,'Auction Log'!$D$5:$D$304,"&lt;&gt;",'Auction Log'!$E$5:$E$304,"&gt;0")=0,"",IFERROR(INDEX('Auction Log'!$E$5:$E$304,MATCH(1,('Auction Log'!$B$5:$B$304=A45)*('Auction Log'!$D$5:$D$304&lt;&gt;"")*('Auction Log'!$E$5:$E$304&gt;0),0)),""))</f>
        <v/>
      </c>
      <c r="F45" s="18" t="s">
        <v>150</v>
      </c>
      <c r="G45" s="18" t="s">
        <v>21</v>
      </c>
      <c r="H45" s="18" t="n">
        <v>8</v>
      </c>
      <c r="I45" s="18" t="n">
        <v>56</v>
      </c>
      <c r="J45" s="18" t="n">
        <v>6</v>
      </c>
      <c r="K45" s="36" t="n">
        <v>235</v>
      </c>
      <c r="L45" s="36" t="n">
        <v>230</v>
      </c>
      <c r="M45" s="19" t="n">
        <v>20</v>
      </c>
      <c r="N45" s="19" t="n">
        <v>25</v>
      </c>
      <c r="O45" s="19" t="n">
        <v>-2</v>
      </c>
      <c r="P45" s="19" t="n">
        <v>1</v>
      </c>
      <c r="Q45" s="19" t="n">
        <v>0</v>
      </c>
      <c r="R45" s="19" t="n">
        <v>25</v>
      </c>
      <c r="S45" s="19" t="n">
        <v>22</v>
      </c>
      <c r="T45" s="18" t="s">
        <v>125</v>
      </c>
      <c r="U45" s="32"/>
      <c r="V45" s="19" t="str">
        <f aca="false">IF(E45="","",R45-E45)</f>
        <v/>
      </c>
      <c r="W45" s="18" t="s">
        <v>98</v>
      </c>
      <c r="X45" s="4" t="n">
        <f aca="false">IF(AND(D45="Available",R45&gt;=55),ROW(),9999)</f>
        <v>9999</v>
      </c>
      <c r="Y45" s="4" t="n">
        <f aca="false">IF(AND(D45="Available",R45&gt;=40,R45&lt;55),ROW(),9999)</f>
        <v>9999</v>
      </c>
      <c r="Z45" s="4" t="n">
        <f aca="false">IF(AND(D45="Available",R45&gt;=25,R45&lt;40),ROW(),9999)</f>
        <v>45</v>
      </c>
      <c r="AA45" s="35" t="n">
        <f aca="false">IF(K45="","",IF(L45="",K45,ROUND(AVERAGE(K45,L45),0)))</f>
        <v>233</v>
      </c>
    </row>
    <row r="46" customFormat="false" ht="15" hidden="false" customHeight="false" outlineLevel="0" collapsed="false">
      <c r="A46" s="18" t="s">
        <v>169</v>
      </c>
      <c r="B46" s="19" t="n">
        <f aca="false">R46-N46</f>
        <v>-1</v>
      </c>
      <c r="C46" s="18" t="str">
        <f aca="false">IF(B46&gt;=5,"SMASH BUY",IF(B46&gt;=2,"BUY",IF(B46&gt;=-1,"NEUTRAL",IF(B46&gt;=-4,"AVOID","DO NOT BID"))))</f>
        <v>NEUTRAL</v>
      </c>
      <c r="D46" s="18" t="str">
        <f aca="false">IF(COUNTIFS('Auction Log'!$B$5:$B$304,A46,'Auction Log'!$D$5:$D$304,"&lt;&gt;",'Auction Log'!$E$5:$E$304,"&gt;0")=0,"Available",IFERROR(INDEX('Auction Log'!$D$5:$D$304,MATCH(1,('Auction Log'!$B$5:$B$304=A46)*('Auction Log'!$D$5:$D$304&lt;&gt;"")*('Auction Log'!$E$5:$E$304&gt;0),0)),"SOLD"))</f>
        <v>Available</v>
      </c>
      <c r="E46" s="19" t="str">
        <f aca="false">IF(COUNTIFS('Auction Log'!$B$5:$B$304,A46,'Auction Log'!$D$5:$D$304,"&lt;&gt;",'Auction Log'!$E$5:$E$304,"&gt;0")=0,"",IFERROR(INDEX('Auction Log'!$E$5:$E$304,MATCH(1,('Auction Log'!$B$5:$B$304=A46)*('Auction Log'!$D$5:$D$304&lt;&gt;"")*('Auction Log'!$E$5:$E$304&gt;0),0)),""))</f>
        <v/>
      </c>
      <c r="F46" s="18" t="s">
        <v>106</v>
      </c>
      <c r="G46" s="18" t="s">
        <v>26</v>
      </c>
      <c r="H46" s="18" t="n">
        <v>11</v>
      </c>
      <c r="I46" s="18" t="n">
        <v>49</v>
      </c>
      <c r="J46" s="18" t="n">
        <v>5</v>
      </c>
      <c r="K46" s="36" t="n">
        <v>222</v>
      </c>
      <c r="L46" s="36" t="n">
        <v>232</v>
      </c>
      <c r="M46" s="19" t="n">
        <v>18</v>
      </c>
      <c r="N46" s="19" t="n">
        <v>25</v>
      </c>
      <c r="O46" s="19" t="n">
        <v>-3</v>
      </c>
      <c r="P46" s="19" t="n">
        <v>1</v>
      </c>
      <c r="Q46" s="19" t="n">
        <v>0</v>
      </c>
      <c r="R46" s="19" t="n">
        <v>24</v>
      </c>
      <c r="S46" s="19" t="n">
        <v>22</v>
      </c>
      <c r="T46" s="18" t="s">
        <v>107</v>
      </c>
      <c r="U46" s="32"/>
      <c r="V46" s="19" t="str">
        <f aca="false">IF(E46="","",R46-E46)</f>
        <v/>
      </c>
      <c r="W46" s="18" t="s">
        <v>98</v>
      </c>
      <c r="X46" s="4" t="n">
        <f aca="false">IF(AND(D46="Available",R46&gt;=55),ROW(),9999)</f>
        <v>9999</v>
      </c>
      <c r="Y46" s="4" t="n">
        <f aca="false">IF(AND(D46="Available",R46&gt;=40,R46&lt;55),ROW(),9999)</f>
        <v>9999</v>
      </c>
      <c r="Z46" s="4" t="n">
        <f aca="false">IF(AND(D46="Available",R46&gt;=25,R46&lt;40),ROW(),9999)</f>
        <v>9999</v>
      </c>
      <c r="AA46" s="35" t="n">
        <f aca="false">IF(K46="","",IF(L46="",K46,ROUND(AVERAGE(K46,L46),0)))</f>
        <v>227</v>
      </c>
    </row>
    <row r="47" customFormat="false" ht="15" hidden="false" customHeight="false" outlineLevel="0" collapsed="false">
      <c r="A47" s="18" t="s">
        <v>170</v>
      </c>
      <c r="B47" s="19" t="n">
        <f aca="false">R47-N47</f>
        <v>2</v>
      </c>
      <c r="C47" s="18" t="str">
        <f aca="false">IF(B47&gt;=5,"SMASH BUY",IF(B47&gt;=2,"BUY",IF(B47&gt;=-1,"NEUTRAL",IF(B47&gt;=-4,"AVOID","DO NOT BID"))))</f>
        <v>BUY</v>
      </c>
      <c r="D47" s="18" t="str">
        <f aca="false">IF(COUNTIFS('Auction Log'!$B$5:$B$304,A47,'Auction Log'!$D$5:$D$304,"&lt;&gt;",'Auction Log'!$E$5:$E$304,"&gt;0")=0,"Available",IFERROR(INDEX('Auction Log'!$D$5:$D$304,MATCH(1,('Auction Log'!$B$5:$B$304=A47)*('Auction Log'!$D$5:$D$304&lt;&gt;"")*('Auction Log'!$E$5:$E$304&gt;0),0)),"SOLD"))</f>
        <v>Available</v>
      </c>
      <c r="E47" s="19" t="str">
        <f aca="false">IF(COUNTIFS('Auction Log'!$B$5:$B$304,A47,'Auction Log'!$D$5:$D$304,"&lt;&gt;",'Auction Log'!$E$5:$E$304,"&gt;0")=0,"",IFERROR(INDEX('Auction Log'!$E$5:$E$304,MATCH(1,('Auction Log'!$B$5:$B$304=A47)*('Auction Log'!$D$5:$D$304&lt;&gt;"")*('Auction Log'!$E$5:$E$304&gt;0),0)),""))</f>
        <v/>
      </c>
      <c r="F47" s="18" t="s">
        <v>171</v>
      </c>
      <c r="G47" s="18" t="s">
        <v>26</v>
      </c>
      <c r="H47" s="18" t="n">
        <v>10</v>
      </c>
      <c r="I47" s="18" t="n">
        <v>33</v>
      </c>
      <c r="J47" s="18" t="n">
        <v>4</v>
      </c>
      <c r="K47" s="36" t="n">
        <v>210</v>
      </c>
      <c r="L47" s="36" t="n">
        <v>213</v>
      </c>
      <c r="M47" s="19" t="n">
        <v>15</v>
      </c>
      <c r="N47" s="19" t="n">
        <v>21</v>
      </c>
      <c r="O47" s="19" t="n">
        <v>0</v>
      </c>
      <c r="P47" s="19" t="n">
        <v>1</v>
      </c>
      <c r="Q47" s="19" t="n">
        <v>0</v>
      </c>
      <c r="R47" s="19" t="n">
        <v>23</v>
      </c>
      <c r="S47" s="19" t="n">
        <v>21</v>
      </c>
      <c r="T47" s="18" t="s">
        <v>97</v>
      </c>
      <c r="U47" s="32"/>
      <c r="V47" s="19" t="str">
        <f aca="false">IF(E47="","",R47-E47)</f>
        <v/>
      </c>
      <c r="W47" s="18" t="s">
        <v>98</v>
      </c>
      <c r="X47" s="4" t="n">
        <f aca="false">IF(AND(D47="Available",R47&gt;=55),ROW(),9999)</f>
        <v>9999</v>
      </c>
      <c r="Y47" s="4" t="n">
        <f aca="false">IF(AND(D47="Available",R47&gt;=40,R47&lt;55),ROW(),9999)</f>
        <v>9999</v>
      </c>
      <c r="Z47" s="4" t="n">
        <f aca="false">IF(AND(D47="Available",R47&gt;=25,R47&lt;40),ROW(),9999)</f>
        <v>9999</v>
      </c>
      <c r="AA47" s="35" t="n">
        <f aca="false">IF(K47="","",IF(L47="",K47,ROUND(AVERAGE(K47,L47),0)))</f>
        <v>212</v>
      </c>
    </row>
    <row r="48" customFormat="false" ht="28.5" hidden="false" customHeight="true" outlineLevel="0" collapsed="false">
      <c r="A48" s="18" t="s">
        <v>172</v>
      </c>
      <c r="B48" s="19" t="n">
        <f aca="false">R48-N48</f>
        <v>-3</v>
      </c>
      <c r="C48" s="18" t="str">
        <f aca="false">IF(B48&gt;=5,"SMASH BUY",IF(B48&gt;=2,"BUY",IF(B48&gt;=-1,"NEUTRAL",IF(B48&gt;=-4,"AVOID","DO NOT BID"))))</f>
        <v>AVOID</v>
      </c>
      <c r="D48" s="18" t="str">
        <f aca="false">IF(COUNTIFS('Auction Log'!$B$5:$B$304,A48,'Auction Log'!$D$5:$D$304,"&lt;&gt;",'Auction Log'!$E$5:$E$304,"&gt;0")=0,"Available",IFERROR(INDEX('Auction Log'!$D$5:$D$304,MATCH(1,('Auction Log'!$B$5:$B$304=A48)*('Auction Log'!$D$5:$D$304&lt;&gt;"")*('Auction Log'!$E$5:$E$304&gt;0),0)),"SOLD"))</f>
        <v>Available</v>
      </c>
      <c r="E48" s="19" t="str">
        <f aca="false">IF(COUNTIFS('Auction Log'!$B$5:$B$304,A48,'Auction Log'!$D$5:$D$304,"&lt;&gt;",'Auction Log'!$E$5:$E$304,"&gt;0")=0,"",IFERROR(INDEX('Auction Log'!$E$5:$E$304,MATCH(1,('Auction Log'!$B$5:$B$304=A48)*('Auction Log'!$D$5:$D$304&lt;&gt;"")*('Auction Log'!$E$5:$E$304&gt;0),0)),""))</f>
        <v/>
      </c>
      <c r="F48" s="18" t="s">
        <v>173</v>
      </c>
      <c r="G48" s="18" t="s">
        <v>26</v>
      </c>
      <c r="H48" s="18" t="n">
        <v>10</v>
      </c>
      <c r="I48" s="18" t="n">
        <v>40</v>
      </c>
      <c r="J48" s="18" t="n">
        <v>5</v>
      </c>
      <c r="K48" s="36" t="n">
        <v>228</v>
      </c>
      <c r="L48" s="36" t="n">
        <v>229</v>
      </c>
      <c r="M48" s="19" t="n">
        <v>19</v>
      </c>
      <c r="N48" s="19" t="n">
        <v>26</v>
      </c>
      <c r="O48" s="19" t="n">
        <v>-2</v>
      </c>
      <c r="P48" s="19" t="n">
        <v>2</v>
      </c>
      <c r="Q48" s="19" t="n">
        <v>4</v>
      </c>
      <c r="R48" s="19" t="n">
        <v>23</v>
      </c>
      <c r="S48" s="19" t="n">
        <v>21</v>
      </c>
      <c r="T48" s="18" t="s">
        <v>107</v>
      </c>
      <c r="U48" s="32" t="s">
        <v>174</v>
      </c>
      <c r="V48" s="19" t="str">
        <f aca="false">IF(E48="","",R48-E48)</f>
        <v/>
      </c>
      <c r="W48" s="18" t="s">
        <v>98</v>
      </c>
      <c r="X48" s="4" t="n">
        <f aca="false">IF(AND(D48="Available",R48&gt;=55),ROW(),9999)</f>
        <v>9999</v>
      </c>
      <c r="Y48" s="4" t="n">
        <f aca="false">IF(AND(D48="Available",R48&gt;=40,R48&lt;55),ROW(),9999)</f>
        <v>9999</v>
      </c>
      <c r="Z48" s="4" t="n">
        <f aca="false">IF(AND(D48="Available",R48&gt;=25,R48&lt;40),ROW(),9999)</f>
        <v>9999</v>
      </c>
      <c r="AA48" s="35" t="n">
        <f aca="false">IF(K48="","",IF(L48="",K48,ROUND(AVERAGE(K48,L48),0)))</f>
        <v>229</v>
      </c>
    </row>
    <row r="49" customFormat="false" ht="15" hidden="false" customHeight="false" outlineLevel="0" collapsed="false">
      <c r="A49" s="18" t="s">
        <v>175</v>
      </c>
      <c r="B49" s="19" t="n">
        <f aca="false">R49-N49</f>
        <v>0</v>
      </c>
      <c r="C49" s="18" t="str">
        <f aca="false">IF(B49&gt;=5,"SMASH BUY",IF(B49&gt;=2,"BUY",IF(B49&gt;=-1,"NEUTRAL",IF(B49&gt;=-4,"AVOID","DO NOT BID"))))</f>
        <v>NEUTRAL</v>
      </c>
      <c r="D49" s="18" t="str">
        <f aca="false">IF(COUNTIFS('Auction Log'!$B$5:$B$304,A49,'Auction Log'!$D$5:$D$304,"&lt;&gt;",'Auction Log'!$E$5:$E$304,"&gt;0")=0,"Available",IFERROR(INDEX('Auction Log'!$D$5:$D$304,MATCH(1,('Auction Log'!$B$5:$B$304=A49)*('Auction Log'!$D$5:$D$304&lt;&gt;"")*('Auction Log'!$E$5:$E$304&gt;0),0)),"SOLD"))</f>
        <v>Available</v>
      </c>
      <c r="E49" s="19" t="str">
        <f aca="false">IF(COUNTIFS('Auction Log'!$B$5:$B$304,A49,'Auction Log'!$D$5:$D$304,"&lt;&gt;",'Auction Log'!$E$5:$E$304,"&gt;0")=0,"",IFERROR(INDEX('Auction Log'!$E$5:$E$304,MATCH(1,('Auction Log'!$B$5:$B$304=A49)*('Auction Log'!$D$5:$D$304&lt;&gt;"")*('Auction Log'!$E$5:$E$304&gt;0),0)),""))</f>
        <v/>
      </c>
      <c r="F49" s="18" t="s">
        <v>173</v>
      </c>
      <c r="G49" s="18" t="s">
        <v>21</v>
      </c>
      <c r="H49" s="18" t="n">
        <v>10</v>
      </c>
      <c r="I49" s="18" t="n">
        <v>60</v>
      </c>
      <c r="J49" s="18" t="n">
        <v>6</v>
      </c>
      <c r="K49" s="36" t="n">
        <v>224</v>
      </c>
      <c r="L49" s="36" t="n">
        <v>207</v>
      </c>
      <c r="M49" s="19" t="n">
        <v>19</v>
      </c>
      <c r="N49" s="19" t="n">
        <v>23</v>
      </c>
      <c r="O49" s="19" t="n">
        <v>-2</v>
      </c>
      <c r="P49" s="19" t="n">
        <v>1</v>
      </c>
      <c r="Q49" s="19" t="n">
        <v>0</v>
      </c>
      <c r="R49" s="19" t="n">
        <v>23</v>
      </c>
      <c r="S49" s="19" t="n">
        <v>21</v>
      </c>
      <c r="T49" s="18" t="s">
        <v>125</v>
      </c>
      <c r="U49" s="32"/>
      <c r="V49" s="19" t="str">
        <f aca="false">IF(E49="","",R49-E49)</f>
        <v/>
      </c>
      <c r="W49" s="18" t="s">
        <v>98</v>
      </c>
      <c r="X49" s="4" t="n">
        <f aca="false">IF(AND(D49="Available",R49&gt;=55),ROW(),9999)</f>
        <v>9999</v>
      </c>
      <c r="Y49" s="4" t="n">
        <f aca="false">IF(AND(D49="Available",R49&gt;=40,R49&lt;55),ROW(),9999)</f>
        <v>9999</v>
      </c>
      <c r="Z49" s="4" t="n">
        <f aca="false">IF(AND(D49="Available",R49&gt;=25,R49&lt;40),ROW(),9999)</f>
        <v>9999</v>
      </c>
      <c r="AA49" s="35" t="n">
        <f aca="false">IF(K49="","",IF(L49="",K49,ROUND(AVERAGE(K49,L49),0)))</f>
        <v>216</v>
      </c>
    </row>
    <row r="50" customFormat="false" ht="15" hidden="false" customHeight="false" outlineLevel="0" collapsed="false">
      <c r="A50" s="18" t="s">
        <v>176</v>
      </c>
      <c r="B50" s="19" t="n">
        <f aca="false">R50-N50</f>
        <v>1</v>
      </c>
      <c r="C50" s="18" t="str">
        <f aca="false">IF(B50&gt;=5,"SMASH BUY",IF(B50&gt;=2,"BUY",IF(B50&gt;=-1,"NEUTRAL",IF(B50&gt;=-4,"AVOID","DO NOT BID"))))</f>
        <v>NEUTRAL</v>
      </c>
      <c r="D50" s="18" t="str">
        <f aca="false">IF(COUNTIFS('Auction Log'!$B$5:$B$304,A50,'Auction Log'!$D$5:$D$304,"&lt;&gt;",'Auction Log'!$E$5:$E$304,"&gt;0")=0,"Available",IFERROR(INDEX('Auction Log'!$D$5:$D$304,MATCH(1,('Auction Log'!$B$5:$B$304=A50)*('Auction Log'!$D$5:$D$304&lt;&gt;"")*('Auction Log'!$E$5:$E$304&gt;0),0)),"SOLD"))</f>
        <v>Available</v>
      </c>
      <c r="E50" s="19" t="str">
        <f aca="false">IF(COUNTIFS('Auction Log'!$B$5:$B$304,A50,'Auction Log'!$D$5:$D$304,"&lt;&gt;",'Auction Log'!$E$5:$E$304,"&gt;0")=0,"",IFERROR(INDEX('Auction Log'!$E$5:$E$304,MATCH(1,('Auction Log'!$B$5:$B$304=A50)*('Auction Log'!$D$5:$D$304&lt;&gt;"")*('Auction Log'!$E$5:$E$304&gt;0),0)),""))</f>
        <v/>
      </c>
      <c r="F50" s="18" t="s">
        <v>177</v>
      </c>
      <c r="G50" s="18" t="s">
        <v>26</v>
      </c>
      <c r="H50" s="18" t="n">
        <v>7</v>
      </c>
      <c r="I50" s="18" t="n">
        <v>45</v>
      </c>
      <c r="J50" s="18" t="n">
        <v>5</v>
      </c>
      <c r="K50" s="36" t="n">
        <v>210</v>
      </c>
      <c r="L50" s="36" t="n">
        <v>219</v>
      </c>
      <c r="M50" s="19" t="n">
        <v>17</v>
      </c>
      <c r="N50" s="19" t="n">
        <v>21</v>
      </c>
      <c r="O50" s="19" t="n">
        <v>-1</v>
      </c>
      <c r="P50" s="19" t="n">
        <v>1</v>
      </c>
      <c r="Q50" s="19" t="n">
        <v>0</v>
      </c>
      <c r="R50" s="19" t="n">
        <v>22</v>
      </c>
      <c r="S50" s="19" t="n">
        <v>20</v>
      </c>
      <c r="T50" s="18" t="s">
        <v>125</v>
      </c>
      <c r="U50" s="32"/>
      <c r="V50" s="19" t="str">
        <f aca="false">IF(E50="","",R50-E50)</f>
        <v/>
      </c>
      <c r="W50" s="18" t="s">
        <v>98</v>
      </c>
      <c r="X50" s="4" t="n">
        <f aca="false">IF(AND(D50="Available",R50&gt;=55),ROW(),9999)</f>
        <v>9999</v>
      </c>
      <c r="Y50" s="4" t="n">
        <f aca="false">IF(AND(D50="Available",R50&gt;=40,R50&lt;55),ROW(),9999)</f>
        <v>9999</v>
      </c>
      <c r="Z50" s="4" t="n">
        <f aca="false">IF(AND(D50="Available",R50&gt;=25,R50&lt;40),ROW(),9999)</f>
        <v>9999</v>
      </c>
      <c r="AA50" s="35" t="n">
        <f aca="false">IF(K50="","",IF(L50="",K50,ROUND(AVERAGE(K50,L50),0)))</f>
        <v>215</v>
      </c>
    </row>
    <row r="51" customFormat="false" ht="15" hidden="false" customHeight="false" outlineLevel="0" collapsed="false">
      <c r="A51" s="18" t="s">
        <v>178</v>
      </c>
      <c r="B51" s="19" t="n">
        <f aca="false">R51-N51</f>
        <v>-1</v>
      </c>
      <c r="C51" s="18" t="str">
        <f aca="false">IF(B51&gt;=5,"SMASH BUY",IF(B51&gt;=2,"BUY",IF(B51&gt;=-1,"NEUTRAL",IF(B51&gt;=-4,"AVOID","DO NOT BID"))))</f>
        <v>NEUTRAL</v>
      </c>
      <c r="D51" s="18" t="str">
        <f aca="false">IF(COUNTIFS('Auction Log'!$B$5:$B$304,A51,'Auction Log'!$D$5:$D$304,"&lt;&gt;",'Auction Log'!$E$5:$E$304,"&gt;0")=0,"Available",IFERROR(INDEX('Auction Log'!$D$5:$D$304,MATCH(1,('Auction Log'!$B$5:$B$304=A51)*('Auction Log'!$D$5:$D$304&lt;&gt;"")*('Auction Log'!$E$5:$E$304&gt;0),0)),"SOLD"))</f>
        <v>Available</v>
      </c>
      <c r="E51" s="19" t="str">
        <f aca="false">IF(COUNTIFS('Auction Log'!$B$5:$B$304,A51,'Auction Log'!$D$5:$D$304,"&lt;&gt;",'Auction Log'!$E$5:$E$304,"&gt;0")=0,"",IFERROR(INDEX('Auction Log'!$E$5:$E$304,MATCH(1,('Auction Log'!$B$5:$B$304=A51)*('Auction Log'!$D$5:$D$304&lt;&gt;"")*('Auction Log'!$E$5:$E$304&gt;0),0)),""))</f>
        <v/>
      </c>
      <c r="F51" s="18" t="s">
        <v>96</v>
      </c>
      <c r="G51" s="18" t="s">
        <v>26</v>
      </c>
      <c r="H51" s="18" t="n">
        <v>6</v>
      </c>
      <c r="I51" s="18" t="n">
        <v>54</v>
      </c>
      <c r="J51" s="18" t="n">
        <v>6</v>
      </c>
      <c r="K51" s="36" t="n">
        <v>217</v>
      </c>
      <c r="L51" s="36" t="n">
        <v>208</v>
      </c>
      <c r="M51" s="19" t="n">
        <v>12</v>
      </c>
      <c r="N51" s="19" t="n">
        <v>23</v>
      </c>
      <c r="O51" s="19" t="n">
        <v>-3</v>
      </c>
      <c r="P51" s="19" t="n">
        <v>1</v>
      </c>
      <c r="Q51" s="19" t="n">
        <v>0</v>
      </c>
      <c r="R51" s="19" t="n">
        <v>22</v>
      </c>
      <c r="S51" s="19" t="n">
        <v>20</v>
      </c>
      <c r="T51" s="18" t="s">
        <v>125</v>
      </c>
      <c r="U51" s="32"/>
      <c r="V51" s="19" t="str">
        <f aca="false">IF(E51="","",R51-E51)</f>
        <v/>
      </c>
      <c r="W51" s="18" t="s">
        <v>98</v>
      </c>
      <c r="X51" s="4" t="n">
        <f aca="false">IF(AND(D51="Available",R51&gt;=55),ROW(),9999)</f>
        <v>9999</v>
      </c>
      <c r="Y51" s="4" t="n">
        <f aca="false">IF(AND(D51="Available",R51&gt;=40,R51&lt;55),ROW(),9999)</f>
        <v>9999</v>
      </c>
      <c r="Z51" s="4" t="n">
        <f aca="false">IF(AND(D51="Available",R51&gt;=25,R51&lt;40),ROW(),9999)</f>
        <v>9999</v>
      </c>
      <c r="AA51" s="35" t="n">
        <f aca="false">IF(K51="","",IF(L51="",K51,ROUND(AVERAGE(K51,L51),0)))</f>
        <v>213</v>
      </c>
    </row>
    <row r="52" customFormat="false" ht="15" hidden="false" customHeight="false" outlineLevel="0" collapsed="false">
      <c r="A52" s="18" t="s">
        <v>179</v>
      </c>
      <c r="B52" s="19" t="n">
        <f aca="false">R52-N52</f>
        <v>-1</v>
      </c>
      <c r="C52" s="18" t="str">
        <f aca="false">IF(B52&gt;=5,"SMASH BUY",IF(B52&gt;=2,"BUY",IF(B52&gt;=-1,"NEUTRAL",IF(B52&gt;=-4,"AVOID","DO NOT BID"))))</f>
        <v>NEUTRAL</v>
      </c>
      <c r="D52" s="18" t="str">
        <f aca="false">IF(COUNTIFS('Auction Log'!$B$5:$B$304,A52,'Auction Log'!$D$5:$D$304,"&lt;&gt;",'Auction Log'!$E$5:$E$304,"&gt;0")=0,"Available",IFERROR(INDEX('Auction Log'!$D$5:$D$304,MATCH(1,('Auction Log'!$B$5:$B$304=A52)*('Auction Log'!$D$5:$D$304&lt;&gt;"")*('Auction Log'!$E$5:$E$304&gt;0),0)),"SOLD"))</f>
        <v>Available</v>
      </c>
      <c r="E52" s="19" t="str">
        <f aca="false">IF(COUNTIFS('Auction Log'!$B$5:$B$304,A52,'Auction Log'!$D$5:$D$304,"&lt;&gt;",'Auction Log'!$E$5:$E$304,"&gt;0")=0,"",IFERROR(INDEX('Auction Log'!$E$5:$E$304,MATCH(1,('Auction Log'!$B$5:$B$304=A52)*('Auction Log'!$D$5:$D$304&lt;&gt;"")*('Auction Log'!$E$5:$E$304&gt;0),0)),""))</f>
        <v/>
      </c>
      <c r="F52" s="18" t="s">
        <v>180</v>
      </c>
      <c r="G52" s="18" t="s">
        <v>21</v>
      </c>
      <c r="H52" s="18" t="n">
        <v>10</v>
      </c>
      <c r="I52" s="18" t="n">
        <v>55</v>
      </c>
      <c r="J52" s="18" t="n">
        <v>6</v>
      </c>
      <c r="K52" s="36" t="n">
        <v>223</v>
      </c>
      <c r="L52" s="36" t="n">
        <v>212</v>
      </c>
      <c r="M52" s="19" t="n">
        <v>9</v>
      </c>
      <c r="N52" s="19" t="n">
        <v>23</v>
      </c>
      <c r="O52" s="19" t="n">
        <v>-3</v>
      </c>
      <c r="P52" s="19" t="n">
        <v>1</v>
      </c>
      <c r="Q52" s="19" t="n">
        <v>0</v>
      </c>
      <c r="R52" s="19" t="n">
        <v>22</v>
      </c>
      <c r="S52" s="19" t="n">
        <v>20</v>
      </c>
      <c r="T52" s="18" t="s">
        <v>125</v>
      </c>
      <c r="U52" s="32"/>
      <c r="V52" s="19" t="str">
        <f aca="false">IF(E52="","",R52-E52)</f>
        <v/>
      </c>
      <c r="W52" s="18" t="s">
        <v>98</v>
      </c>
      <c r="X52" s="4" t="n">
        <f aca="false">IF(AND(D52="Available",R52&gt;=55),ROW(),9999)</f>
        <v>9999</v>
      </c>
      <c r="Y52" s="4" t="n">
        <f aca="false">IF(AND(D52="Available",R52&gt;=40,R52&lt;55),ROW(),9999)</f>
        <v>9999</v>
      </c>
      <c r="Z52" s="4" t="n">
        <f aca="false">IF(AND(D52="Available",R52&gt;=25,R52&lt;40),ROW(),9999)</f>
        <v>9999</v>
      </c>
      <c r="AA52" s="35" t="n">
        <f aca="false">IF(K52="","",IF(L52="",K52,ROUND(AVERAGE(K52,L52),0)))</f>
        <v>218</v>
      </c>
    </row>
    <row r="53" customFormat="false" ht="15" hidden="false" customHeight="false" outlineLevel="0" collapsed="false">
      <c r="A53" s="18" t="s">
        <v>181</v>
      </c>
      <c r="B53" s="19" t="n">
        <f aca="false">R53-N53</f>
        <v>1</v>
      </c>
      <c r="C53" s="18" t="str">
        <f aca="false">IF(B53&gt;=5,"SMASH BUY",IF(B53&gt;=2,"BUY",IF(B53&gt;=-1,"NEUTRAL",IF(B53&gt;=-4,"AVOID","DO NOT BID"))))</f>
        <v>NEUTRAL</v>
      </c>
      <c r="D53" s="18" t="str">
        <f aca="false">IF(COUNTIFS('Auction Log'!$B$5:$B$304,A53,'Auction Log'!$D$5:$D$304,"&lt;&gt;",'Auction Log'!$E$5:$E$304,"&gt;0")=0,"Available",IFERROR(INDEX('Auction Log'!$D$5:$D$304,MATCH(1,('Auction Log'!$B$5:$B$304=A53)*('Auction Log'!$D$5:$D$304&lt;&gt;"")*('Auction Log'!$E$5:$E$304&gt;0),0)),"SOLD"))</f>
        <v>Available</v>
      </c>
      <c r="E53" s="19" t="str">
        <f aca="false">IF(COUNTIFS('Auction Log'!$B$5:$B$304,A53,'Auction Log'!$D$5:$D$304,"&lt;&gt;",'Auction Log'!$E$5:$E$304,"&gt;0")=0,"",IFERROR(INDEX('Auction Log'!$E$5:$E$304,MATCH(1,('Auction Log'!$B$5:$B$304=A53)*('Auction Log'!$D$5:$D$304&lt;&gt;"")*('Auction Log'!$E$5:$E$304&gt;0),0)),""))</f>
        <v/>
      </c>
      <c r="F53" s="18" t="s">
        <v>180</v>
      </c>
      <c r="G53" s="18" t="s">
        <v>30</v>
      </c>
      <c r="H53" s="18" t="n">
        <v>10</v>
      </c>
      <c r="I53" s="18" t="n">
        <v>37</v>
      </c>
      <c r="J53" s="18" t="n">
        <v>5</v>
      </c>
      <c r="K53" s="36" t="n">
        <v>211</v>
      </c>
      <c r="L53" s="36" t="n">
        <v>206</v>
      </c>
      <c r="M53" s="19" t="n">
        <v>13</v>
      </c>
      <c r="N53" s="19" t="n">
        <v>20</v>
      </c>
      <c r="O53" s="19" t="n">
        <v>-1</v>
      </c>
      <c r="P53" s="19" t="n">
        <v>1</v>
      </c>
      <c r="Q53" s="19" t="n">
        <v>0</v>
      </c>
      <c r="R53" s="19" t="n">
        <v>21</v>
      </c>
      <c r="S53" s="19" t="n">
        <v>19</v>
      </c>
      <c r="T53" s="18" t="s">
        <v>125</v>
      </c>
      <c r="U53" s="32"/>
      <c r="V53" s="19" t="str">
        <f aca="false">IF(E53="","",R53-E53)</f>
        <v/>
      </c>
      <c r="W53" s="18" t="s">
        <v>98</v>
      </c>
      <c r="X53" s="4" t="n">
        <f aca="false">IF(AND(D53="Available",R53&gt;=55),ROW(),9999)</f>
        <v>9999</v>
      </c>
      <c r="Y53" s="4" t="n">
        <f aca="false">IF(AND(D53="Available",R53&gt;=40,R53&lt;55),ROW(),9999)</f>
        <v>9999</v>
      </c>
      <c r="Z53" s="4" t="n">
        <f aca="false">IF(AND(D53="Available",R53&gt;=25,R53&lt;40),ROW(),9999)</f>
        <v>9999</v>
      </c>
      <c r="AA53" s="35" t="n">
        <f aca="false">IF(K53="","",IF(L53="",K53,ROUND(AVERAGE(K53,L53),0)))</f>
        <v>209</v>
      </c>
    </row>
    <row r="54" customFormat="false" ht="15" hidden="false" customHeight="false" outlineLevel="0" collapsed="false">
      <c r="A54" s="18" t="s">
        <v>182</v>
      </c>
      <c r="B54" s="19" t="n">
        <f aca="false">R54-N54</f>
        <v>0</v>
      </c>
      <c r="C54" s="18" t="str">
        <f aca="false">IF(B54&gt;=5,"SMASH BUY",IF(B54&gt;=2,"BUY",IF(B54&gt;=-1,"NEUTRAL",IF(B54&gt;=-4,"AVOID","DO NOT BID"))))</f>
        <v>NEUTRAL</v>
      </c>
      <c r="D54" s="18" t="str">
        <f aca="false">IF(COUNTIFS('Auction Log'!$B$5:$B$304,A54,'Auction Log'!$D$5:$D$304,"&lt;&gt;",'Auction Log'!$E$5:$E$304,"&gt;0")=0,"Available",IFERROR(INDEX('Auction Log'!$D$5:$D$304,MATCH(1,('Auction Log'!$B$5:$B$304=A54)*('Auction Log'!$D$5:$D$304&lt;&gt;"")*('Auction Log'!$E$5:$E$304&gt;0),0)),"SOLD"))</f>
        <v>Available</v>
      </c>
      <c r="E54" s="19" t="str">
        <f aca="false">IF(COUNTIFS('Auction Log'!$B$5:$B$304,A54,'Auction Log'!$D$5:$D$304,"&lt;&gt;",'Auction Log'!$E$5:$E$304,"&gt;0")=0,"",IFERROR(INDEX('Auction Log'!$E$5:$E$304,MATCH(1,('Auction Log'!$B$5:$B$304=A54)*('Auction Log'!$D$5:$D$304&lt;&gt;"")*('Auction Log'!$E$5:$E$304&gt;0),0)),""))</f>
        <v/>
      </c>
      <c r="F54" s="18" t="s">
        <v>122</v>
      </c>
      <c r="G54" s="18" t="s">
        <v>26</v>
      </c>
      <c r="H54" s="18" t="n">
        <v>7</v>
      </c>
      <c r="I54" s="18" t="n">
        <v>51</v>
      </c>
      <c r="J54" s="18" t="n">
        <v>5</v>
      </c>
      <c r="K54" s="36" t="n">
        <v>208</v>
      </c>
      <c r="L54" s="36" t="n">
        <v>209</v>
      </c>
      <c r="M54" s="19" t="n">
        <v>11</v>
      </c>
      <c r="N54" s="19" t="n">
        <v>21</v>
      </c>
      <c r="O54" s="19" t="n">
        <v>-2</v>
      </c>
      <c r="P54" s="19" t="n">
        <v>1</v>
      </c>
      <c r="Q54" s="19" t="n">
        <v>0</v>
      </c>
      <c r="R54" s="19" t="n">
        <v>21</v>
      </c>
      <c r="S54" s="19" t="n">
        <v>19</v>
      </c>
      <c r="T54" s="18" t="s">
        <v>125</v>
      </c>
      <c r="U54" s="32"/>
      <c r="V54" s="19" t="str">
        <f aca="false">IF(E54="","",R54-E54)</f>
        <v/>
      </c>
      <c r="W54" s="18" t="s">
        <v>98</v>
      </c>
      <c r="X54" s="4" t="n">
        <f aca="false">IF(AND(D54="Available",R54&gt;=55),ROW(),9999)</f>
        <v>9999</v>
      </c>
      <c r="Y54" s="4" t="n">
        <f aca="false">IF(AND(D54="Available",R54&gt;=40,R54&lt;55),ROW(),9999)</f>
        <v>9999</v>
      </c>
      <c r="Z54" s="4" t="n">
        <f aca="false">IF(AND(D54="Available",R54&gt;=25,R54&lt;40),ROW(),9999)</f>
        <v>9999</v>
      </c>
      <c r="AA54" s="35" t="n">
        <f aca="false">IF(K54="","",IF(L54="",K54,ROUND(AVERAGE(K54,L54),0)))</f>
        <v>209</v>
      </c>
    </row>
    <row r="55" customFormat="false" ht="15" hidden="false" customHeight="false" outlineLevel="0" collapsed="false">
      <c r="A55" s="18" t="s">
        <v>183</v>
      </c>
      <c r="B55" s="19" t="n">
        <f aca="false">R55-N55</f>
        <v>1</v>
      </c>
      <c r="C55" s="18" t="str">
        <f aca="false">IF(B55&gt;=5,"SMASH BUY",IF(B55&gt;=2,"BUY",IF(B55&gt;=-1,"NEUTRAL",IF(B55&gt;=-4,"AVOID","DO NOT BID"))))</f>
        <v>NEUTRAL</v>
      </c>
      <c r="D55" s="18" t="str">
        <f aca="false">IF(COUNTIFS('Auction Log'!$B$5:$B$304,A55,'Auction Log'!$D$5:$D$304,"&lt;&gt;",'Auction Log'!$E$5:$E$304,"&gt;0")=0,"Available",IFERROR(INDEX('Auction Log'!$D$5:$D$304,MATCH(1,('Auction Log'!$B$5:$B$304=A55)*('Auction Log'!$D$5:$D$304&lt;&gt;"")*('Auction Log'!$E$5:$E$304&gt;0),0)),"SOLD"))</f>
        <v>Available</v>
      </c>
      <c r="E55" s="19" t="str">
        <f aca="false">IF(COUNTIFS('Auction Log'!$B$5:$B$304,A55,'Auction Log'!$D$5:$D$304,"&lt;&gt;",'Auction Log'!$E$5:$E$304,"&gt;0")=0,"",IFERROR(INDEX('Auction Log'!$E$5:$E$304,MATCH(1,('Auction Log'!$B$5:$B$304=A55)*('Auction Log'!$D$5:$D$304&lt;&gt;"")*('Auction Log'!$E$5:$E$304&gt;0),0)),""))</f>
        <v/>
      </c>
      <c r="F55" s="18" t="s">
        <v>180</v>
      </c>
      <c r="G55" s="18" t="s">
        <v>26</v>
      </c>
      <c r="H55" s="18" t="n">
        <v>10</v>
      </c>
      <c r="I55" s="18" t="n">
        <v>57</v>
      </c>
      <c r="J55" s="18" t="n">
        <v>6</v>
      </c>
      <c r="K55" s="36" t="n">
        <v>205</v>
      </c>
      <c r="L55" s="36" t="n">
        <v>213</v>
      </c>
      <c r="M55" s="19" t="n">
        <v>14</v>
      </c>
      <c r="N55" s="19" t="n">
        <v>20</v>
      </c>
      <c r="O55" s="19" t="n">
        <v>-1</v>
      </c>
      <c r="P55" s="19" t="n">
        <v>1</v>
      </c>
      <c r="Q55" s="19" t="n">
        <v>0</v>
      </c>
      <c r="R55" s="19" t="n">
        <v>21</v>
      </c>
      <c r="S55" s="19" t="n">
        <v>19</v>
      </c>
      <c r="T55" s="18" t="s">
        <v>125</v>
      </c>
      <c r="U55" s="32"/>
      <c r="V55" s="19" t="str">
        <f aca="false">IF(E55="","",R55-E55)</f>
        <v/>
      </c>
      <c r="W55" s="18" t="s">
        <v>98</v>
      </c>
      <c r="X55" s="4" t="n">
        <f aca="false">IF(AND(D55="Available",R55&gt;=55),ROW(),9999)</f>
        <v>9999</v>
      </c>
      <c r="Y55" s="4" t="n">
        <f aca="false">IF(AND(D55="Available",R55&gt;=40,R55&lt;55),ROW(),9999)</f>
        <v>9999</v>
      </c>
      <c r="Z55" s="4" t="n">
        <f aca="false">IF(AND(D55="Available",R55&gt;=25,R55&lt;40),ROW(),9999)</f>
        <v>9999</v>
      </c>
      <c r="AA55" s="35" t="n">
        <f aca="false">IF(K55="","",IF(L55="",K55,ROUND(AVERAGE(K55,L55),0)))</f>
        <v>209</v>
      </c>
    </row>
    <row r="56" customFormat="false" ht="42.75" hidden="false" customHeight="true" outlineLevel="0" collapsed="false">
      <c r="A56" s="18" t="s">
        <v>184</v>
      </c>
      <c r="B56" s="19" t="n">
        <f aca="false">R56-N56</f>
        <v>1</v>
      </c>
      <c r="C56" s="18" t="str">
        <f aca="false">IF(B56&gt;=5,"SMASH BUY",IF(B56&gt;=2,"BUY",IF(B56&gt;=-1,"NEUTRAL",IF(B56&gt;=-4,"AVOID","DO NOT BID"))))</f>
        <v>NEUTRAL</v>
      </c>
      <c r="D56" s="18" t="str">
        <f aca="false">IF(COUNTIFS('Auction Log'!$B$5:$B$304,A56,'Auction Log'!$D$5:$D$304,"&lt;&gt;",'Auction Log'!$E$5:$E$304,"&gt;0")=0,"Available",IFERROR(INDEX('Auction Log'!$D$5:$D$304,MATCH(1,('Auction Log'!$B$5:$B$304=A56)*('Auction Log'!$D$5:$D$304&lt;&gt;"")*('Auction Log'!$E$5:$E$304&gt;0),0)),"SOLD"))</f>
        <v>Available</v>
      </c>
      <c r="E56" s="19" t="str">
        <f aca="false">IF(COUNTIFS('Auction Log'!$B$5:$B$304,A56,'Auction Log'!$D$5:$D$304,"&lt;&gt;",'Auction Log'!$E$5:$E$304,"&gt;0")=0,"",IFERROR(INDEX('Auction Log'!$E$5:$E$304,MATCH(1,('Auction Log'!$B$5:$B$304=A56)*('Auction Log'!$D$5:$D$304&lt;&gt;"")*('Auction Log'!$E$5:$E$304&gt;0),0)),""))</f>
        <v/>
      </c>
      <c r="F56" s="18" t="s">
        <v>185</v>
      </c>
      <c r="G56" s="18" t="s">
        <v>21</v>
      </c>
      <c r="H56" s="18" t="n">
        <v>11</v>
      </c>
      <c r="I56" s="18" t="n">
        <v>62</v>
      </c>
      <c r="J56" s="18" t="n">
        <v>6</v>
      </c>
      <c r="K56" s="36" t="n">
        <v>215</v>
      </c>
      <c r="L56" s="36" t="n">
        <v>226</v>
      </c>
      <c r="M56" s="19" t="n">
        <v>21</v>
      </c>
      <c r="N56" s="19" t="n">
        <v>20</v>
      </c>
      <c r="O56" s="19" t="n">
        <v>-1</v>
      </c>
      <c r="P56" s="19" t="n">
        <v>2</v>
      </c>
      <c r="Q56" s="19" t="n">
        <v>1</v>
      </c>
      <c r="R56" s="19" t="n">
        <v>21</v>
      </c>
      <c r="S56" s="19" t="n">
        <v>19</v>
      </c>
      <c r="T56" s="18" t="s">
        <v>125</v>
      </c>
      <c r="U56" s="32" t="s">
        <v>186</v>
      </c>
      <c r="V56" s="19" t="str">
        <f aca="false">IF(E56="","",R56-E56)</f>
        <v/>
      </c>
      <c r="W56" s="18" t="s">
        <v>98</v>
      </c>
      <c r="X56" s="4" t="n">
        <f aca="false">IF(AND(D56="Available",R56&gt;=55),ROW(),9999)</f>
        <v>9999</v>
      </c>
      <c r="Y56" s="4" t="n">
        <f aca="false">IF(AND(D56="Available",R56&gt;=40,R56&lt;55),ROW(),9999)</f>
        <v>9999</v>
      </c>
      <c r="Z56" s="4" t="n">
        <f aca="false">IF(AND(D56="Available",R56&gt;=25,R56&lt;40),ROW(),9999)</f>
        <v>9999</v>
      </c>
      <c r="AA56" s="35" t="n">
        <f aca="false">IF(K56="","",IF(L56="",K56,ROUND(AVERAGE(K56,L56),0)))</f>
        <v>221</v>
      </c>
    </row>
    <row r="57" customFormat="false" ht="15" hidden="false" customHeight="false" outlineLevel="0" collapsed="false">
      <c r="A57" s="18" t="s">
        <v>187</v>
      </c>
      <c r="B57" s="19" t="n">
        <f aca="false">R57-N57</f>
        <v>5</v>
      </c>
      <c r="C57" s="18" t="str">
        <f aca="false">IF(B57&gt;=5,"SMASH BUY",IF(B57&gt;=2,"BUY",IF(B57&gt;=-1,"NEUTRAL",IF(B57&gt;=-4,"AVOID","DO NOT BID"))))</f>
        <v>SMASH BUY</v>
      </c>
      <c r="D57" s="18" t="str">
        <f aca="false">IF(COUNTIFS('Auction Log'!$B$5:$B$304,A57,'Auction Log'!$D$5:$D$304,"&lt;&gt;",'Auction Log'!$E$5:$E$304,"&gt;0")=0,"Available",IFERROR(INDEX('Auction Log'!$D$5:$D$304,MATCH(1,('Auction Log'!$B$5:$B$304=A57)*('Auction Log'!$D$5:$D$304&lt;&gt;"")*('Auction Log'!$E$5:$E$304&gt;0),0)),"SOLD"))</f>
        <v>Available</v>
      </c>
      <c r="E57" s="19" t="str">
        <f aca="false">IF(COUNTIFS('Auction Log'!$B$5:$B$304,A57,'Auction Log'!$D$5:$D$304,"&lt;&gt;",'Auction Log'!$E$5:$E$304,"&gt;0")=0,"",IFERROR(INDEX('Auction Log'!$E$5:$E$304,MATCH(1,('Auction Log'!$B$5:$B$304=A57)*('Auction Log'!$D$5:$D$304&lt;&gt;"")*('Auction Log'!$E$5:$E$304&gt;0),0)),""))</f>
        <v/>
      </c>
      <c r="F57" s="18" t="s">
        <v>132</v>
      </c>
      <c r="G57" s="18" t="s">
        <v>16</v>
      </c>
      <c r="H57" s="18" t="n">
        <v>13</v>
      </c>
      <c r="I57" s="18" t="n">
        <v>31</v>
      </c>
      <c r="J57" s="18" t="n">
        <v>4</v>
      </c>
      <c r="K57" s="36" t="n">
        <v>325</v>
      </c>
      <c r="L57" s="36" t="n">
        <v>323</v>
      </c>
      <c r="M57" s="19" t="n">
        <v>10</v>
      </c>
      <c r="N57" s="19" t="n">
        <v>15</v>
      </c>
      <c r="O57" s="19" t="n">
        <v>3</v>
      </c>
      <c r="P57" s="19" t="n">
        <v>1</v>
      </c>
      <c r="Q57" s="19" t="n">
        <v>0</v>
      </c>
      <c r="R57" s="19" t="n">
        <v>20</v>
      </c>
      <c r="S57" s="19" t="n">
        <v>18</v>
      </c>
      <c r="T57" s="18" t="s">
        <v>97</v>
      </c>
      <c r="U57" s="32"/>
      <c r="V57" s="19" t="str">
        <f aca="false">IF(E57="","",R57-E57)</f>
        <v/>
      </c>
      <c r="W57" s="18" t="s">
        <v>98</v>
      </c>
      <c r="X57" s="4" t="n">
        <f aca="false">IF(AND(D57="Available",R57&gt;=55),ROW(),9999)</f>
        <v>9999</v>
      </c>
      <c r="Y57" s="4" t="n">
        <f aca="false">IF(AND(D57="Available",R57&gt;=40,R57&lt;55),ROW(),9999)</f>
        <v>9999</v>
      </c>
      <c r="Z57" s="4" t="n">
        <f aca="false">IF(AND(D57="Available",R57&gt;=25,R57&lt;40),ROW(),9999)</f>
        <v>9999</v>
      </c>
      <c r="AA57" s="35" t="n">
        <f aca="false">IF(K57="","",IF(L57="",K57,ROUND(AVERAGE(K57,L57),0)))</f>
        <v>324</v>
      </c>
    </row>
    <row r="58" customFormat="false" ht="15" hidden="false" customHeight="false" outlineLevel="0" collapsed="false">
      <c r="A58" s="18" t="s">
        <v>188</v>
      </c>
      <c r="B58" s="19" t="n">
        <f aca="false">R58-N58</f>
        <v>4</v>
      </c>
      <c r="C58" s="18" t="str">
        <f aca="false">IF(B58&gt;=5,"SMASH BUY",IF(B58&gt;=2,"BUY",IF(B58&gt;=-1,"NEUTRAL",IF(B58&gt;=-4,"AVOID","DO NOT BID"))))</f>
        <v>BUY</v>
      </c>
      <c r="D58" s="18" t="str">
        <f aca="false">IF(COUNTIFS('Auction Log'!$B$5:$B$304,A58,'Auction Log'!$D$5:$D$304,"&lt;&gt;",'Auction Log'!$E$5:$E$304,"&gt;0")=0,"Available",IFERROR(INDEX('Auction Log'!$D$5:$D$304,MATCH(1,('Auction Log'!$B$5:$B$304=A58)*('Auction Log'!$D$5:$D$304&lt;&gt;"")*('Auction Log'!$E$5:$E$304&gt;0),0)),"SOLD"))</f>
        <v>Available</v>
      </c>
      <c r="E58" s="19" t="str">
        <f aca="false">IF(COUNTIFS('Auction Log'!$B$5:$B$304,A58,'Auction Log'!$D$5:$D$304,"&lt;&gt;",'Auction Log'!$E$5:$E$304,"&gt;0")=0,"",IFERROR(INDEX('Auction Log'!$E$5:$E$304,MATCH(1,('Auction Log'!$B$5:$B$304=A58)*('Auction Log'!$D$5:$D$304&lt;&gt;"")*('Auction Log'!$E$5:$E$304&gt;0),0)),""))</f>
        <v/>
      </c>
      <c r="F58" s="18" t="s">
        <v>130</v>
      </c>
      <c r="G58" s="18" t="s">
        <v>16</v>
      </c>
      <c r="H58" s="18" t="n">
        <v>11</v>
      </c>
      <c r="I58" s="18" t="n">
        <v>38</v>
      </c>
      <c r="J58" s="18" t="n">
        <v>5</v>
      </c>
      <c r="K58" s="36" t="n">
        <v>323</v>
      </c>
      <c r="L58" s="36" t="n">
        <v>319</v>
      </c>
      <c r="M58" s="19" t="n">
        <v>10</v>
      </c>
      <c r="N58" s="19" t="n">
        <v>15</v>
      </c>
      <c r="O58" s="19" t="n">
        <v>2</v>
      </c>
      <c r="P58" s="19" t="n">
        <v>1</v>
      </c>
      <c r="Q58" s="19" t="n">
        <v>0</v>
      </c>
      <c r="R58" s="19" t="n">
        <v>19</v>
      </c>
      <c r="S58" s="19" t="n">
        <v>17</v>
      </c>
      <c r="T58" s="18" t="s">
        <v>97</v>
      </c>
      <c r="U58" s="32"/>
      <c r="V58" s="19" t="str">
        <f aca="false">IF(E58="","",R58-E58)</f>
        <v/>
      </c>
      <c r="W58" s="18" t="s">
        <v>98</v>
      </c>
      <c r="X58" s="4" t="n">
        <f aca="false">IF(AND(D58="Available",R58&gt;=55),ROW(),9999)</f>
        <v>9999</v>
      </c>
      <c r="Y58" s="4" t="n">
        <f aca="false">IF(AND(D58="Available",R58&gt;=40,R58&lt;55),ROW(),9999)</f>
        <v>9999</v>
      </c>
      <c r="Z58" s="4" t="n">
        <f aca="false">IF(AND(D58="Available",R58&gt;=25,R58&lt;40),ROW(),9999)</f>
        <v>9999</v>
      </c>
      <c r="AA58" s="35" t="n">
        <f aca="false">IF(K58="","",IF(L58="",K58,ROUND(AVERAGE(K58,L58),0)))</f>
        <v>321</v>
      </c>
    </row>
    <row r="59" customFormat="false" ht="28.5" hidden="false" customHeight="true" outlineLevel="0" collapsed="false">
      <c r="A59" s="18" t="s">
        <v>189</v>
      </c>
      <c r="B59" s="19" t="n">
        <f aca="false">R59-N59</f>
        <v>-2</v>
      </c>
      <c r="C59" s="18" t="str">
        <f aca="false">IF(B59&gt;=5,"SMASH BUY",IF(B59&gt;=2,"BUY",IF(B59&gt;=-1,"NEUTRAL",IF(B59&gt;=-4,"AVOID","DO NOT BID"))))</f>
        <v>AVOID</v>
      </c>
      <c r="D59" s="18" t="str">
        <f aca="false">IF(COUNTIFS('Auction Log'!$B$5:$B$304,A59,'Auction Log'!$D$5:$D$304,"&lt;&gt;",'Auction Log'!$E$5:$E$304,"&gt;0")=0,"Available",IFERROR(INDEX('Auction Log'!$D$5:$D$304,MATCH(1,('Auction Log'!$B$5:$B$304=A59)*('Auction Log'!$D$5:$D$304&lt;&gt;"")*('Auction Log'!$E$5:$E$304&gt;0),0)),"SOLD"))</f>
        <v>Available</v>
      </c>
      <c r="E59" s="19" t="str">
        <f aca="false">IF(COUNTIFS('Auction Log'!$B$5:$B$304,A59,'Auction Log'!$D$5:$D$304,"&lt;&gt;",'Auction Log'!$E$5:$E$304,"&gt;0")=0,"",IFERROR(INDEX('Auction Log'!$E$5:$E$304,MATCH(1,('Auction Log'!$B$5:$B$304=A59)*('Auction Log'!$D$5:$D$304&lt;&gt;"")*('Auction Log'!$E$5:$E$304&gt;0),0)),""))</f>
        <v/>
      </c>
      <c r="F59" s="18" t="s">
        <v>180</v>
      </c>
      <c r="G59" s="18" t="s">
        <v>26</v>
      </c>
      <c r="H59" s="18" t="n">
        <v>10</v>
      </c>
      <c r="I59" s="18" t="n">
        <v>47</v>
      </c>
      <c r="J59" s="18" t="n">
        <v>5</v>
      </c>
      <c r="K59" s="36" t="n">
        <v>208</v>
      </c>
      <c r="L59" s="36" t="n">
        <v>206</v>
      </c>
      <c r="M59" s="19" t="n">
        <v>11</v>
      </c>
      <c r="N59" s="19" t="n">
        <v>21</v>
      </c>
      <c r="O59" s="19" t="n">
        <v>-2</v>
      </c>
      <c r="P59" s="19" t="n">
        <v>0</v>
      </c>
      <c r="Q59" s="19" t="n">
        <v>1</v>
      </c>
      <c r="R59" s="19" t="n">
        <v>19</v>
      </c>
      <c r="S59" s="19" t="n">
        <v>17</v>
      </c>
      <c r="T59" s="18" t="s">
        <v>125</v>
      </c>
      <c r="U59" s="32" t="s">
        <v>190</v>
      </c>
      <c r="V59" s="19" t="str">
        <f aca="false">IF(E59="","",R59-E59)</f>
        <v/>
      </c>
      <c r="W59" s="18" t="s">
        <v>98</v>
      </c>
      <c r="X59" s="4" t="n">
        <f aca="false">IF(AND(D59="Available",R59&gt;=55),ROW(),9999)</f>
        <v>9999</v>
      </c>
      <c r="Y59" s="4" t="n">
        <f aca="false">IF(AND(D59="Available",R59&gt;=40,R59&lt;55),ROW(),9999)</f>
        <v>9999</v>
      </c>
      <c r="Z59" s="4" t="n">
        <f aca="false">IF(AND(D59="Available",R59&gt;=25,R59&lt;40),ROW(),9999)</f>
        <v>9999</v>
      </c>
      <c r="AA59" s="35" t="n">
        <f aca="false">IF(K59="","",IF(L59="",K59,ROUND(AVERAGE(K59,L59),0)))</f>
        <v>207</v>
      </c>
    </row>
    <row r="60" customFormat="false" ht="28.5" hidden="false" customHeight="true" outlineLevel="0" collapsed="false">
      <c r="A60" s="18" t="s">
        <v>191</v>
      </c>
      <c r="B60" s="19" t="n">
        <f aca="false">R60-N60</f>
        <v>2</v>
      </c>
      <c r="C60" s="18" t="str">
        <f aca="false">IF(B60&gt;=5,"SMASH BUY",IF(B60&gt;=2,"BUY",IF(B60&gt;=-1,"NEUTRAL",IF(B60&gt;=-4,"AVOID","DO NOT BID"))))</f>
        <v>BUY</v>
      </c>
      <c r="D60" s="18" t="str">
        <f aca="false">IF(COUNTIFS('Auction Log'!$B$5:$B$304,A60,'Auction Log'!$D$5:$D$304,"&lt;&gt;",'Auction Log'!$E$5:$E$304,"&gt;0")=0,"Available",IFERROR(INDEX('Auction Log'!$D$5:$D$304,MATCH(1,('Auction Log'!$B$5:$B$304=A60)*('Auction Log'!$D$5:$D$304&lt;&gt;"")*('Auction Log'!$E$5:$E$304&gt;0),0)),"SOLD"))</f>
        <v>Available</v>
      </c>
      <c r="E60" s="19" t="str">
        <f aca="false">IF(COUNTIFS('Auction Log'!$B$5:$B$304,A60,'Auction Log'!$D$5:$D$304,"&lt;&gt;",'Auction Log'!$E$5:$E$304,"&gt;0")=0,"",IFERROR(INDEX('Auction Log'!$E$5:$E$304,MATCH(1,('Auction Log'!$B$5:$B$304=A60)*('Auction Log'!$D$5:$D$304&lt;&gt;"")*('Auction Log'!$E$5:$E$304&gt;0),0)),""))</f>
        <v/>
      </c>
      <c r="F60" s="18" t="s">
        <v>113</v>
      </c>
      <c r="G60" s="18" t="s">
        <v>30</v>
      </c>
      <c r="H60" s="18" t="n">
        <v>13</v>
      </c>
      <c r="I60" s="18" t="n">
        <v>52</v>
      </c>
      <c r="J60" s="18" t="n">
        <v>6</v>
      </c>
      <c r="K60" s="36" t="n">
        <v>199</v>
      </c>
      <c r="L60" s="36" t="n">
        <v>211</v>
      </c>
      <c r="M60" s="19" t="n">
        <v>13</v>
      </c>
      <c r="N60" s="19" t="n">
        <v>17</v>
      </c>
      <c r="O60" s="19" t="n">
        <v>0</v>
      </c>
      <c r="P60" s="19" t="n">
        <v>1</v>
      </c>
      <c r="Q60" s="19" t="n">
        <v>0</v>
      </c>
      <c r="R60" s="19" t="n">
        <v>19</v>
      </c>
      <c r="S60" s="19" t="n">
        <v>17</v>
      </c>
      <c r="T60" s="18" t="s">
        <v>125</v>
      </c>
      <c r="U60" s="32" t="s">
        <v>192</v>
      </c>
      <c r="V60" s="19" t="str">
        <f aca="false">IF(E60="","",R60-E60)</f>
        <v/>
      </c>
      <c r="W60" s="18" t="s">
        <v>98</v>
      </c>
      <c r="X60" s="4" t="n">
        <f aca="false">IF(AND(D60="Available",R60&gt;=55),ROW(),9999)</f>
        <v>9999</v>
      </c>
      <c r="Y60" s="4" t="n">
        <f aca="false">IF(AND(D60="Available",R60&gt;=40,R60&lt;55),ROW(),9999)</f>
        <v>9999</v>
      </c>
      <c r="Z60" s="4" t="n">
        <f aca="false">IF(AND(D60="Available",R60&gt;=25,R60&lt;40),ROW(),9999)</f>
        <v>9999</v>
      </c>
      <c r="AA60" s="35" t="n">
        <f aca="false">IF(K60="","",IF(L60="",K60,ROUND(AVERAGE(K60,L60),0)))</f>
        <v>205</v>
      </c>
    </row>
    <row r="61" customFormat="false" ht="15" hidden="false" customHeight="false" outlineLevel="0" collapsed="false">
      <c r="A61" s="18" t="s">
        <v>193</v>
      </c>
      <c r="B61" s="19" t="n">
        <f aca="false">R61-N61</f>
        <v>-1</v>
      </c>
      <c r="C61" s="18" t="str">
        <f aca="false">IF(B61&gt;=5,"SMASH BUY",IF(B61&gt;=2,"BUY",IF(B61&gt;=-1,"NEUTRAL",IF(B61&gt;=-4,"AVOID","DO NOT BID"))))</f>
        <v>NEUTRAL</v>
      </c>
      <c r="D61" s="18" t="str">
        <f aca="false">IF(COUNTIFS('Auction Log'!$B$5:$B$304,A61,'Auction Log'!$D$5:$D$304,"&lt;&gt;",'Auction Log'!$E$5:$E$304,"&gt;0")=0,"Available",IFERROR(INDEX('Auction Log'!$D$5:$D$304,MATCH(1,('Auction Log'!$B$5:$B$304=A61)*('Auction Log'!$D$5:$D$304&lt;&gt;"")*('Auction Log'!$E$5:$E$304&gt;0),0)),"SOLD"))</f>
        <v>Available</v>
      </c>
      <c r="E61" s="19" t="str">
        <f aca="false">IF(COUNTIFS('Auction Log'!$B$5:$B$304,A61,'Auction Log'!$D$5:$D$304,"&lt;&gt;",'Auction Log'!$E$5:$E$304,"&gt;0")=0,"",IFERROR(INDEX('Auction Log'!$E$5:$E$304,MATCH(1,('Auction Log'!$B$5:$B$304=A61)*('Auction Log'!$D$5:$D$304&lt;&gt;"")*('Auction Log'!$E$5:$E$304&gt;0),0)),""))</f>
        <v/>
      </c>
      <c r="F61" s="18" t="s">
        <v>111</v>
      </c>
      <c r="G61" s="18" t="s">
        <v>26</v>
      </c>
      <c r="H61" s="18" t="n">
        <v>8</v>
      </c>
      <c r="I61" s="18" t="n">
        <v>53</v>
      </c>
      <c r="J61" s="18" t="n">
        <v>6</v>
      </c>
      <c r="K61" s="36" t="n">
        <v>204</v>
      </c>
      <c r="L61" s="36" t="n">
        <v>183</v>
      </c>
      <c r="M61" s="19" t="n">
        <v>5</v>
      </c>
      <c r="N61" s="19" t="n">
        <v>19</v>
      </c>
      <c r="O61" s="19" t="n">
        <v>-2</v>
      </c>
      <c r="P61" s="19" t="n">
        <v>1</v>
      </c>
      <c r="Q61" s="19" t="n">
        <v>1</v>
      </c>
      <c r="R61" s="19" t="n">
        <v>18</v>
      </c>
      <c r="S61" s="19" t="n">
        <v>16</v>
      </c>
      <c r="T61" s="18" t="s">
        <v>125</v>
      </c>
      <c r="U61" s="32" t="s">
        <v>194</v>
      </c>
      <c r="V61" s="19" t="str">
        <f aca="false">IF(E61="","",R61-E61)</f>
        <v/>
      </c>
      <c r="W61" s="18" t="s">
        <v>98</v>
      </c>
      <c r="X61" s="4" t="n">
        <f aca="false">IF(AND(D61="Available",R61&gt;=55),ROW(),9999)</f>
        <v>9999</v>
      </c>
      <c r="Y61" s="4" t="n">
        <f aca="false">IF(AND(D61="Available",R61&gt;=40,R61&lt;55),ROW(),9999)</f>
        <v>9999</v>
      </c>
      <c r="Z61" s="4" t="n">
        <f aca="false">IF(AND(D61="Available",R61&gt;=25,R61&lt;40),ROW(),9999)</f>
        <v>9999</v>
      </c>
      <c r="AA61" s="35" t="n">
        <f aca="false">IF(K61="","",IF(L61="",K61,ROUND(AVERAGE(K61,L61),0)))</f>
        <v>194</v>
      </c>
    </row>
    <row r="62" customFormat="false" ht="15" hidden="false" customHeight="false" outlineLevel="0" collapsed="false">
      <c r="A62" s="18" t="s">
        <v>195</v>
      </c>
      <c r="B62" s="19" t="n">
        <f aca="false">R62-N62</f>
        <v>-1</v>
      </c>
      <c r="C62" s="18" t="str">
        <f aca="false">IF(B62&gt;=5,"SMASH BUY",IF(B62&gt;=2,"BUY",IF(B62&gt;=-1,"NEUTRAL",IF(B62&gt;=-4,"AVOID","DO NOT BID"))))</f>
        <v>NEUTRAL</v>
      </c>
      <c r="D62" s="18" t="str">
        <f aca="false">IF(COUNTIFS('Auction Log'!$B$5:$B$304,A62,'Auction Log'!$D$5:$D$304,"&lt;&gt;",'Auction Log'!$E$5:$E$304,"&gt;0")=0,"Available",IFERROR(INDEX('Auction Log'!$D$5:$D$304,MATCH(1,('Auction Log'!$B$5:$B$304=A62)*('Auction Log'!$D$5:$D$304&lt;&gt;"")*('Auction Log'!$E$5:$E$304&gt;0),0)),"SOLD"))</f>
        <v>Available</v>
      </c>
      <c r="E62" s="19" t="str">
        <f aca="false">IF(COUNTIFS('Auction Log'!$B$5:$B$304,A62,'Auction Log'!$D$5:$D$304,"&lt;&gt;",'Auction Log'!$E$5:$E$304,"&gt;0")=0,"",IFERROR(INDEX('Auction Log'!$E$5:$E$304,MATCH(1,('Auction Log'!$B$5:$B$304=A62)*('Auction Log'!$D$5:$D$304&lt;&gt;"")*('Auction Log'!$E$5:$E$304&gt;0),0)),""))</f>
        <v/>
      </c>
      <c r="F62" s="18" t="s">
        <v>196</v>
      </c>
      <c r="G62" s="18" t="s">
        <v>21</v>
      </c>
      <c r="H62" s="18" t="n">
        <v>7</v>
      </c>
      <c r="I62" s="18" t="n">
        <v>66</v>
      </c>
      <c r="J62" s="18" t="n">
        <v>6</v>
      </c>
      <c r="K62" s="36" t="n">
        <v>207</v>
      </c>
      <c r="L62" s="36" t="n">
        <v>205</v>
      </c>
      <c r="M62" s="19" t="n">
        <v>9</v>
      </c>
      <c r="N62" s="19" t="n">
        <v>19</v>
      </c>
      <c r="O62" s="19" t="n">
        <v>-3</v>
      </c>
      <c r="P62" s="19" t="n">
        <v>1</v>
      </c>
      <c r="Q62" s="19" t="n">
        <v>0</v>
      </c>
      <c r="R62" s="19" t="n">
        <v>18</v>
      </c>
      <c r="S62" s="19" t="n">
        <v>16</v>
      </c>
      <c r="T62" s="18" t="s">
        <v>97</v>
      </c>
      <c r="U62" s="32"/>
      <c r="V62" s="19" t="str">
        <f aca="false">IF(E62="","",R62-E62)</f>
        <v/>
      </c>
      <c r="W62" s="18" t="s">
        <v>98</v>
      </c>
      <c r="X62" s="4" t="n">
        <f aca="false">IF(AND(D62="Available",R62&gt;=55),ROW(),9999)</f>
        <v>9999</v>
      </c>
      <c r="Y62" s="4" t="n">
        <f aca="false">IF(AND(D62="Available",R62&gt;=40,R62&lt;55),ROW(),9999)</f>
        <v>9999</v>
      </c>
      <c r="Z62" s="4" t="n">
        <f aca="false">IF(AND(D62="Available",R62&gt;=25,R62&lt;40),ROW(),9999)</f>
        <v>9999</v>
      </c>
      <c r="AA62" s="35" t="n">
        <f aca="false">IF(K62="","",IF(L62="",K62,ROUND(AVERAGE(K62,L62),0)))</f>
        <v>206</v>
      </c>
    </row>
    <row r="63" customFormat="false" ht="15" hidden="false" customHeight="false" outlineLevel="0" collapsed="false">
      <c r="A63" s="18" t="s">
        <v>197</v>
      </c>
      <c r="B63" s="19" t="n">
        <f aca="false">R63-N63</f>
        <v>2</v>
      </c>
      <c r="C63" s="18" t="str">
        <f aca="false">IF(B63&gt;=5,"SMASH BUY",IF(B63&gt;=2,"BUY",IF(B63&gt;=-1,"NEUTRAL",IF(B63&gt;=-4,"AVOID","DO NOT BID"))))</f>
        <v>BUY</v>
      </c>
      <c r="D63" s="18" t="str">
        <f aca="false">IF(COUNTIFS('Auction Log'!$B$5:$B$304,A63,'Auction Log'!$D$5:$D$304,"&lt;&gt;",'Auction Log'!$E$5:$E$304,"&gt;0")=0,"Available",IFERROR(INDEX('Auction Log'!$D$5:$D$304,MATCH(1,('Auction Log'!$B$5:$B$304=A63)*('Auction Log'!$D$5:$D$304&lt;&gt;"")*('Auction Log'!$E$5:$E$304&gt;0),0)),"SOLD"))</f>
        <v>Available</v>
      </c>
      <c r="E63" s="19" t="str">
        <f aca="false">IF(COUNTIFS('Auction Log'!$B$5:$B$304,A63,'Auction Log'!$D$5:$D$304,"&lt;&gt;",'Auction Log'!$E$5:$E$304,"&gt;0")=0,"",IFERROR(INDEX('Auction Log'!$E$5:$E$304,MATCH(1,('Auction Log'!$B$5:$B$304=A63)*('Auction Log'!$D$5:$D$304&lt;&gt;"")*('Auction Log'!$E$5:$E$304&gt;0),0)),""))</f>
        <v/>
      </c>
      <c r="F63" s="18" t="s">
        <v>177</v>
      </c>
      <c r="G63" s="18" t="s">
        <v>16</v>
      </c>
      <c r="H63" s="18" t="n">
        <v>7</v>
      </c>
      <c r="I63" s="18" t="n">
        <v>50</v>
      </c>
      <c r="J63" s="18" t="n">
        <v>5</v>
      </c>
      <c r="K63" s="36" t="n">
        <v>323</v>
      </c>
      <c r="L63" s="36" t="n">
        <v>318</v>
      </c>
      <c r="M63" s="19" t="n">
        <v>10</v>
      </c>
      <c r="N63" s="19" t="n">
        <v>15</v>
      </c>
      <c r="O63" s="19" t="n">
        <v>1</v>
      </c>
      <c r="P63" s="19" t="n">
        <v>0</v>
      </c>
      <c r="Q63" s="19" t="n">
        <v>0</v>
      </c>
      <c r="R63" s="19" t="n">
        <v>17</v>
      </c>
      <c r="S63" s="19" t="n">
        <v>15</v>
      </c>
      <c r="T63" s="18" t="s">
        <v>125</v>
      </c>
      <c r="U63" s="32"/>
      <c r="V63" s="19" t="str">
        <f aca="false">IF(E63="","",R63-E63)</f>
        <v/>
      </c>
      <c r="W63" s="18" t="s">
        <v>98</v>
      </c>
      <c r="X63" s="4" t="n">
        <f aca="false">IF(AND(D63="Available",R63&gt;=55),ROW(),9999)</f>
        <v>9999</v>
      </c>
      <c r="Y63" s="4" t="n">
        <f aca="false">IF(AND(D63="Available",R63&gt;=40,R63&lt;55),ROW(),9999)</f>
        <v>9999</v>
      </c>
      <c r="Z63" s="4" t="n">
        <f aca="false">IF(AND(D63="Available",R63&gt;=25,R63&lt;40),ROW(),9999)</f>
        <v>9999</v>
      </c>
      <c r="AA63" s="35" t="n">
        <f aca="false">IF(K63="","",IF(L63="",K63,ROUND(AVERAGE(K63,L63),0)))</f>
        <v>321</v>
      </c>
    </row>
    <row r="64" customFormat="false" ht="15" hidden="false" customHeight="false" outlineLevel="0" collapsed="false">
      <c r="A64" s="18" t="s">
        <v>198</v>
      </c>
      <c r="B64" s="19" t="n">
        <f aca="false">R64-N64</f>
        <v>-1</v>
      </c>
      <c r="C64" s="18" t="str">
        <f aca="false">IF(B64&gt;=5,"SMASH BUY",IF(B64&gt;=2,"BUY",IF(B64&gt;=-1,"NEUTRAL",IF(B64&gt;=-4,"AVOID","DO NOT BID"))))</f>
        <v>NEUTRAL</v>
      </c>
      <c r="D64" s="18" t="str">
        <f aca="false">IF(COUNTIFS('Auction Log'!$B$5:$B$304,A64,'Auction Log'!$D$5:$D$304,"&lt;&gt;",'Auction Log'!$E$5:$E$304,"&gt;0")=0,"Available",IFERROR(INDEX('Auction Log'!$D$5:$D$304,MATCH(1,('Auction Log'!$B$5:$B$304=A64)*('Auction Log'!$D$5:$D$304&lt;&gt;"")*('Auction Log'!$E$5:$E$304&gt;0),0)),"SOLD"))</f>
        <v>Available</v>
      </c>
      <c r="E64" s="19" t="str">
        <f aca="false">IF(COUNTIFS('Auction Log'!$B$5:$B$304,A64,'Auction Log'!$D$5:$D$304,"&lt;&gt;",'Auction Log'!$E$5:$E$304,"&gt;0")=0,"",IFERROR(INDEX('Auction Log'!$E$5:$E$304,MATCH(1,('Auction Log'!$B$5:$B$304=A64)*('Auction Log'!$D$5:$D$304&lt;&gt;"")*('Auction Log'!$E$5:$E$304&gt;0),0)),""))</f>
        <v/>
      </c>
      <c r="F64" s="18" t="s">
        <v>136</v>
      </c>
      <c r="G64" s="18" t="s">
        <v>26</v>
      </c>
      <c r="H64" s="18" t="n">
        <v>14</v>
      </c>
      <c r="I64" s="18" t="n">
        <v>67</v>
      </c>
      <c r="J64" s="18" t="n">
        <v>6</v>
      </c>
      <c r="K64" s="36" t="n">
        <v>197</v>
      </c>
      <c r="L64" s="36" t="n">
        <v>194</v>
      </c>
      <c r="M64" s="19" t="n">
        <v>7</v>
      </c>
      <c r="N64" s="19" t="n">
        <v>18</v>
      </c>
      <c r="O64" s="19" t="n">
        <v>-3</v>
      </c>
      <c r="P64" s="19" t="n">
        <v>1</v>
      </c>
      <c r="Q64" s="19" t="n">
        <v>0</v>
      </c>
      <c r="R64" s="19" t="n">
        <v>17</v>
      </c>
      <c r="S64" s="19" t="n">
        <v>15</v>
      </c>
      <c r="T64" s="18" t="s">
        <v>125</v>
      </c>
      <c r="U64" s="32"/>
      <c r="V64" s="19" t="str">
        <f aca="false">IF(E64="","",R64-E64)</f>
        <v/>
      </c>
      <c r="W64" s="18" t="s">
        <v>98</v>
      </c>
      <c r="X64" s="4" t="n">
        <f aca="false">IF(AND(D64="Available",R64&gt;=55),ROW(),9999)</f>
        <v>9999</v>
      </c>
      <c r="Y64" s="4" t="n">
        <f aca="false">IF(AND(D64="Available",R64&gt;=40,R64&lt;55),ROW(),9999)</f>
        <v>9999</v>
      </c>
      <c r="Z64" s="4" t="n">
        <f aca="false">IF(AND(D64="Available",R64&gt;=25,R64&lt;40),ROW(),9999)</f>
        <v>9999</v>
      </c>
      <c r="AA64" s="35" t="n">
        <f aca="false">IF(K64="","",IF(L64="",K64,ROUND(AVERAGE(K64,L64),0)))</f>
        <v>196</v>
      </c>
    </row>
    <row r="65" customFormat="false" ht="15" hidden="false" customHeight="false" outlineLevel="0" collapsed="false">
      <c r="A65" s="18" t="s">
        <v>199</v>
      </c>
      <c r="B65" s="19" t="n">
        <f aca="false">R65-N65</f>
        <v>5</v>
      </c>
      <c r="C65" s="18" t="str">
        <f aca="false">IF(B65&gt;=5,"SMASH BUY",IF(B65&gt;=2,"BUY",IF(B65&gt;=-1,"NEUTRAL",IF(B65&gt;=-4,"AVOID","DO NOT BID"))))</f>
        <v>SMASH BUY</v>
      </c>
      <c r="D65" s="18" t="str">
        <f aca="false">IF(COUNTIFS('Auction Log'!$B$5:$B$304,A65,'Auction Log'!$D$5:$D$304,"&lt;&gt;",'Auction Log'!$E$5:$E$304,"&gt;0")=0,"Available",IFERROR(INDEX('Auction Log'!$D$5:$D$304,MATCH(1,('Auction Log'!$B$5:$B$304=A65)*('Auction Log'!$D$5:$D$304&lt;&gt;"")*('Auction Log'!$E$5:$E$304&gt;0),0)),"SOLD"))</f>
        <v>Available</v>
      </c>
      <c r="E65" s="19" t="str">
        <f aca="false">IF(COUNTIFS('Auction Log'!$B$5:$B$304,A65,'Auction Log'!$D$5:$D$304,"&lt;&gt;",'Auction Log'!$E$5:$E$304,"&gt;0")=0,"",IFERROR(INDEX('Auction Log'!$E$5:$E$304,MATCH(1,('Auction Log'!$B$5:$B$304=A65)*('Auction Log'!$D$5:$D$304&lt;&gt;"")*('Auction Log'!$E$5:$E$304&gt;0),0)),""))</f>
        <v/>
      </c>
      <c r="F65" s="18" t="s">
        <v>100</v>
      </c>
      <c r="G65" s="18" t="s">
        <v>16</v>
      </c>
      <c r="H65" s="18" t="n">
        <v>6</v>
      </c>
      <c r="I65" s="18" t="n">
        <v>46</v>
      </c>
      <c r="J65" s="18" t="n">
        <v>5</v>
      </c>
      <c r="K65" s="36" t="n">
        <v>311</v>
      </c>
      <c r="L65" s="36" t="n">
        <v>305</v>
      </c>
      <c r="M65" s="19" t="n">
        <v>5</v>
      </c>
      <c r="N65" s="19" t="n">
        <v>11</v>
      </c>
      <c r="O65" s="19" t="n">
        <v>3</v>
      </c>
      <c r="P65" s="19" t="n">
        <v>1</v>
      </c>
      <c r="Q65" s="19" t="n">
        <v>0</v>
      </c>
      <c r="R65" s="19" t="n">
        <v>16</v>
      </c>
      <c r="S65" s="19" t="n">
        <v>14</v>
      </c>
      <c r="T65" s="18" t="s">
        <v>97</v>
      </c>
      <c r="U65" s="32"/>
      <c r="V65" s="19" t="str">
        <f aca="false">IF(E65="","",R65-E65)</f>
        <v/>
      </c>
      <c r="W65" s="18" t="s">
        <v>98</v>
      </c>
      <c r="X65" s="4" t="n">
        <f aca="false">IF(AND(D65="Available",R65&gt;=55),ROW(),9999)</f>
        <v>9999</v>
      </c>
      <c r="Y65" s="4" t="n">
        <f aca="false">IF(AND(D65="Available",R65&gt;=40,R65&lt;55),ROW(),9999)</f>
        <v>9999</v>
      </c>
      <c r="Z65" s="4" t="n">
        <f aca="false">IF(AND(D65="Available",R65&gt;=25,R65&lt;40),ROW(),9999)</f>
        <v>9999</v>
      </c>
      <c r="AA65" s="35" t="n">
        <f aca="false">IF(K65="","",IF(L65="",K65,ROUND(AVERAGE(K65,L65),0)))</f>
        <v>308</v>
      </c>
    </row>
    <row r="66" customFormat="false" ht="15" hidden="false" customHeight="false" outlineLevel="0" collapsed="false">
      <c r="A66" s="18" t="s">
        <v>200</v>
      </c>
      <c r="B66" s="19" t="n">
        <f aca="false">R66-N66</f>
        <v>-1</v>
      </c>
      <c r="C66" s="18" t="str">
        <f aca="false">IF(B66&gt;=5,"SMASH BUY",IF(B66&gt;=2,"BUY",IF(B66&gt;=-1,"NEUTRAL",IF(B66&gt;=-4,"AVOID","DO NOT BID"))))</f>
        <v>NEUTRAL</v>
      </c>
      <c r="D66" s="18" t="str">
        <f aca="false">IF(COUNTIFS('Auction Log'!$B$5:$B$304,A66,'Auction Log'!$D$5:$D$304,"&lt;&gt;",'Auction Log'!$E$5:$E$304,"&gt;0")=0,"Available",IFERROR(INDEX('Auction Log'!$D$5:$D$304,MATCH(1,('Auction Log'!$B$5:$B$304=A66)*('Auction Log'!$D$5:$D$304&lt;&gt;"")*('Auction Log'!$E$5:$E$304&gt;0),0)),"SOLD"))</f>
        <v>Available</v>
      </c>
      <c r="E66" s="19" t="str">
        <f aca="false">IF(COUNTIFS('Auction Log'!$B$5:$B$304,A66,'Auction Log'!$D$5:$D$304,"&lt;&gt;",'Auction Log'!$E$5:$E$304,"&gt;0")=0,"",IFERROR(INDEX('Auction Log'!$E$5:$E$304,MATCH(1,('Auction Log'!$B$5:$B$304=A66)*('Auction Log'!$D$5:$D$304&lt;&gt;"")*('Auction Log'!$E$5:$E$304&gt;0),0)),""))</f>
        <v/>
      </c>
      <c r="F66" s="18" t="s">
        <v>158</v>
      </c>
      <c r="G66" s="18" t="s">
        <v>26</v>
      </c>
      <c r="H66" s="18" t="n">
        <v>11</v>
      </c>
      <c r="I66" s="18" t="n">
        <v>59</v>
      </c>
      <c r="J66" s="18" t="n">
        <v>6</v>
      </c>
      <c r="K66" s="36" t="n">
        <v>195</v>
      </c>
      <c r="L66" s="36" t="n">
        <v>185</v>
      </c>
      <c r="M66" s="19" t="n">
        <v>5</v>
      </c>
      <c r="N66" s="19" t="n">
        <v>17</v>
      </c>
      <c r="O66" s="19" t="n">
        <v>-2</v>
      </c>
      <c r="P66" s="19" t="n">
        <v>0</v>
      </c>
      <c r="Q66" s="19" t="n">
        <v>0</v>
      </c>
      <c r="R66" s="19" t="n">
        <v>16</v>
      </c>
      <c r="S66" s="19" t="n">
        <v>14</v>
      </c>
      <c r="T66" s="18" t="s">
        <v>97</v>
      </c>
      <c r="U66" s="32"/>
      <c r="V66" s="19" t="str">
        <f aca="false">IF(E66="","",R66-E66)</f>
        <v/>
      </c>
      <c r="W66" s="18" t="s">
        <v>98</v>
      </c>
      <c r="X66" s="4" t="n">
        <f aca="false">IF(AND(D66="Available",R66&gt;=55),ROW(),9999)</f>
        <v>9999</v>
      </c>
      <c r="Y66" s="4" t="n">
        <f aca="false">IF(AND(D66="Available",R66&gt;=40,R66&lt;55),ROW(),9999)</f>
        <v>9999</v>
      </c>
      <c r="Z66" s="4" t="n">
        <f aca="false">IF(AND(D66="Available",R66&gt;=25,R66&lt;40),ROW(),9999)</f>
        <v>9999</v>
      </c>
      <c r="AA66" s="35" t="n">
        <f aca="false">IF(K66="","",IF(L66="",K66,ROUND(AVERAGE(K66,L66),0)))</f>
        <v>190</v>
      </c>
    </row>
    <row r="67" customFormat="false" ht="15" hidden="false" customHeight="false" outlineLevel="0" collapsed="false">
      <c r="A67" s="18" t="s">
        <v>71</v>
      </c>
      <c r="B67" s="19" t="n">
        <f aca="false">R67-N67</f>
        <v>-1</v>
      </c>
      <c r="C67" s="18" t="str">
        <f aca="false">IF(B67&gt;=5,"SMASH BUY",IF(B67&gt;=2,"BUY",IF(B67&gt;=-1,"NEUTRAL",IF(B67&gt;=-4,"AVOID","DO NOT BID"))))</f>
        <v>NEUTRAL</v>
      </c>
      <c r="D67" s="18" t="str">
        <f aca="false">IF(COUNTIFS('Auction Log'!$B$5:$B$304,A67,'Auction Log'!$D$5:$D$304,"&lt;&gt;",'Auction Log'!$E$5:$E$304,"&gt;0")=0,"Available",IFERROR(INDEX('Auction Log'!$D$5:$D$304,MATCH(1,('Auction Log'!$B$5:$B$304=A67)*('Auction Log'!$D$5:$D$304&lt;&gt;"")*('Auction Log'!$E$5:$E$304&gt;0),0)),"SOLD"))</f>
        <v>Available</v>
      </c>
      <c r="E67" s="19" t="str">
        <f aca="false">IF(COUNTIFS('Auction Log'!$B$5:$B$304,A67,'Auction Log'!$D$5:$D$304,"&lt;&gt;",'Auction Log'!$E$5:$E$304,"&gt;0")=0,"",IFERROR(INDEX('Auction Log'!$E$5:$E$304,MATCH(1,('Auction Log'!$B$5:$B$304=A67)*('Auction Log'!$D$5:$D$304&lt;&gt;"")*('Auction Log'!$E$5:$E$304&gt;0),0)),""))</f>
        <v/>
      </c>
      <c r="F67" s="18" t="s">
        <v>134</v>
      </c>
      <c r="G67" s="18" t="s">
        <v>21</v>
      </c>
      <c r="H67" s="18" t="n">
        <v>8</v>
      </c>
      <c r="I67" s="18" t="n">
        <v>61</v>
      </c>
      <c r="J67" s="18" t="n">
        <v>6</v>
      </c>
      <c r="K67" s="36" t="n">
        <v>196</v>
      </c>
      <c r="L67" s="36" t="n">
        <v>193</v>
      </c>
      <c r="M67" s="19" t="n">
        <v>8</v>
      </c>
      <c r="N67" s="19" t="n">
        <v>16</v>
      </c>
      <c r="O67" s="19" t="n">
        <v>-2</v>
      </c>
      <c r="P67" s="19" t="n">
        <v>0</v>
      </c>
      <c r="Q67" s="19" t="n">
        <v>0</v>
      </c>
      <c r="R67" s="19" t="n">
        <v>15</v>
      </c>
      <c r="S67" s="19" t="n">
        <v>13</v>
      </c>
      <c r="T67" s="18" t="s">
        <v>97</v>
      </c>
      <c r="U67" s="32"/>
      <c r="V67" s="19" t="str">
        <f aca="false">IF(E67="","",R67-E67)</f>
        <v/>
      </c>
      <c r="W67" s="18" t="s">
        <v>98</v>
      </c>
      <c r="X67" s="4" t="n">
        <f aca="false">IF(AND(D67="Available",R67&gt;=55),ROW(),9999)</f>
        <v>9999</v>
      </c>
      <c r="Y67" s="4" t="n">
        <f aca="false">IF(AND(D67="Available",R67&gt;=40,R67&lt;55),ROW(),9999)</f>
        <v>9999</v>
      </c>
      <c r="Z67" s="4" t="n">
        <f aca="false">IF(AND(D67="Available",R67&gt;=25,R67&lt;40),ROW(),9999)</f>
        <v>9999</v>
      </c>
      <c r="AA67" s="35" t="n">
        <f aca="false">IF(K67="","",IF(L67="",K67,ROUND(AVERAGE(K67,L67),0)))</f>
        <v>195</v>
      </c>
    </row>
    <row r="68" customFormat="false" ht="15" hidden="false" customHeight="false" outlineLevel="0" collapsed="false">
      <c r="A68" s="18" t="s">
        <v>201</v>
      </c>
      <c r="B68" s="19" t="n">
        <f aca="false">R68-N68</f>
        <v>3</v>
      </c>
      <c r="C68" s="18" t="str">
        <f aca="false">IF(B68&gt;=5,"SMASH BUY",IF(B68&gt;=2,"BUY",IF(B68&gt;=-1,"NEUTRAL",IF(B68&gt;=-4,"AVOID","DO NOT BID"))))</f>
        <v>BUY</v>
      </c>
      <c r="D68" s="18" t="str">
        <f aca="false">IF(COUNTIFS('Auction Log'!$B$5:$B$304,A68,'Auction Log'!$D$5:$D$304,"&lt;&gt;",'Auction Log'!$E$5:$E$304,"&gt;0")=0,"Available",IFERROR(INDEX('Auction Log'!$D$5:$D$304,MATCH(1,('Auction Log'!$B$5:$B$304=A68)*('Auction Log'!$D$5:$D$304&lt;&gt;"")*('Auction Log'!$E$5:$E$304&gt;0),0)),"SOLD"))</f>
        <v>Available</v>
      </c>
      <c r="E68" s="19" t="str">
        <f aca="false">IF(COUNTIFS('Auction Log'!$B$5:$B$304,A68,'Auction Log'!$D$5:$D$304,"&lt;&gt;",'Auction Log'!$E$5:$E$304,"&gt;0")=0,"",IFERROR(INDEX('Auction Log'!$E$5:$E$304,MATCH(1,('Auction Log'!$B$5:$B$304=A68)*('Auction Log'!$D$5:$D$304&lt;&gt;"")*('Auction Log'!$E$5:$E$304&gt;0),0)),""))</f>
        <v/>
      </c>
      <c r="F68" s="18" t="s">
        <v>202</v>
      </c>
      <c r="G68" s="18" t="s">
        <v>26</v>
      </c>
      <c r="H68" s="18" t="n">
        <v>9</v>
      </c>
      <c r="I68" s="18" t="n">
        <v>64</v>
      </c>
      <c r="J68" s="18" t="n">
        <v>6</v>
      </c>
      <c r="K68" s="36" t="n">
        <v>178</v>
      </c>
      <c r="L68" s="36" t="n">
        <v>202</v>
      </c>
      <c r="M68" s="19" t="n">
        <v>10</v>
      </c>
      <c r="N68" s="19" t="n">
        <v>12</v>
      </c>
      <c r="O68" s="19" t="n">
        <v>1</v>
      </c>
      <c r="P68" s="19" t="n">
        <v>1</v>
      </c>
      <c r="Q68" s="19" t="n">
        <v>0</v>
      </c>
      <c r="R68" s="19" t="n">
        <v>15</v>
      </c>
      <c r="S68" s="19" t="n">
        <v>13</v>
      </c>
      <c r="T68" s="18" t="s">
        <v>97</v>
      </c>
      <c r="U68" s="32"/>
      <c r="V68" s="19" t="str">
        <f aca="false">IF(E68="","",R68-E68)</f>
        <v/>
      </c>
      <c r="W68" s="18" t="s">
        <v>98</v>
      </c>
      <c r="X68" s="4" t="n">
        <f aca="false">IF(AND(D68="Available",R68&gt;=55),ROW(),9999)</f>
        <v>9999</v>
      </c>
      <c r="Y68" s="4" t="n">
        <f aca="false">IF(AND(D68="Available",R68&gt;=40,R68&lt;55),ROW(),9999)</f>
        <v>9999</v>
      </c>
      <c r="Z68" s="4" t="n">
        <f aca="false">IF(AND(D68="Available",R68&gt;=25,R68&lt;40),ROW(),9999)</f>
        <v>9999</v>
      </c>
      <c r="AA68" s="35" t="n">
        <f aca="false">IF(K68="","",IF(L68="",K68,ROUND(AVERAGE(K68,L68),0)))</f>
        <v>190</v>
      </c>
    </row>
    <row r="69" customFormat="false" ht="28.5" hidden="false" customHeight="true" outlineLevel="0" collapsed="false">
      <c r="A69" s="18" t="s">
        <v>203</v>
      </c>
      <c r="B69" s="19" t="n">
        <f aca="false">R69-N69</f>
        <v>-2</v>
      </c>
      <c r="C69" s="18" t="str">
        <f aca="false">IF(B69&gt;=5,"SMASH BUY",IF(B69&gt;=2,"BUY",IF(B69&gt;=-1,"NEUTRAL",IF(B69&gt;=-4,"AVOID","DO NOT BID"))))</f>
        <v>AVOID</v>
      </c>
      <c r="D69" s="18" t="str">
        <f aca="false">IF(COUNTIFS('Auction Log'!$B$5:$B$304,A69,'Auction Log'!$D$5:$D$304,"&lt;&gt;",'Auction Log'!$E$5:$E$304,"&gt;0")=0,"Available",IFERROR(INDEX('Auction Log'!$D$5:$D$304,MATCH(1,('Auction Log'!$B$5:$B$304=A69)*('Auction Log'!$D$5:$D$304&lt;&gt;"")*('Auction Log'!$E$5:$E$304&gt;0),0)),"SOLD"))</f>
        <v>Available</v>
      </c>
      <c r="E69" s="19" t="str">
        <f aca="false">IF(COUNTIFS('Auction Log'!$B$5:$B$304,A69,'Auction Log'!$D$5:$D$304,"&lt;&gt;",'Auction Log'!$E$5:$E$304,"&gt;0")=0,"",IFERROR(INDEX('Auction Log'!$E$5:$E$304,MATCH(1,('Auction Log'!$B$5:$B$304=A69)*('Auction Log'!$D$5:$D$304&lt;&gt;"")*('Auction Log'!$E$5:$E$304&gt;0),0)),""))</f>
        <v/>
      </c>
      <c r="F69" s="18" t="s">
        <v>204</v>
      </c>
      <c r="G69" s="18" t="s">
        <v>26</v>
      </c>
      <c r="H69" s="18" t="n">
        <v>9</v>
      </c>
      <c r="I69" s="18" t="n">
        <v>78</v>
      </c>
      <c r="J69" s="18" t="n">
        <v>7</v>
      </c>
      <c r="K69" s="36" t="n">
        <v>195</v>
      </c>
      <c r="L69" s="36" t="n">
        <v>196</v>
      </c>
      <c r="M69" s="19" t="n">
        <v>6</v>
      </c>
      <c r="N69" s="19" t="n">
        <v>17</v>
      </c>
      <c r="O69" s="19" t="n">
        <v>-4</v>
      </c>
      <c r="P69" s="19" t="n">
        <v>1</v>
      </c>
      <c r="Q69" s="19" t="n">
        <v>0</v>
      </c>
      <c r="R69" s="19" t="n">
        <v>15</v>
      </c>
      <c r="S69" s="19" t="n">
        <v>13</v>
      </c>
      <c r="T69" s="18" t="s">
        <v>125</v>
      </c>
      <c r="U69" s="32" t="s">
        <v>205</v>
      </c>
      <c r="V69" s="19" t="str">
        <f aca="false">IF(E69="","",R69-E69)</f>
        <v/>
      </c>
      <c r="W69" s="18" t="s">
        <v>98</v>
      </c>
      <c r="X69" s="4" t="n">
        <f aca="false">IF(AND(D69="Available",R69&gt;=55),ROW(),9999)</f>
        <v>9999</v>
      </c>
      <c r="Y69" s="4" t="n">
        <f aca="false">IF(AND(D69="Available",R69&gt;=40,R69&lt;55),ROW(),9999)</f>
        <v>9999</v>
      </c>
      <c r="Z69" s="4" t="n">
        <f aca="false">IF(AND(D69="Available",R69&gt;=25,R69&lt;40),ROW(),9999)</f>
        <v>9999</v>
      </c>
      <c r="AA69" s="35" t="n">
        <f aca="false">IF(K69="","",IF(L69="",K69,ROUND(AVERAGE(K69,L69),0)))</f>
        <v>196</v>
      </c>
    </row>
    <row r="70" customFormat="false" ht="15" hidden="false" customHeight="false" outlineLevel="0" collapsed="false">
      <c r="A70" s="18" t="s">
        <v>206</v>
      </c>
      <c r="B70" s="19" t="n">
        <f aca="false">R70-N70</f>
        <v>-3</v>
      </c>
      <c r="C70" s="18" t="str">
        <f aca="false">IF(B70&gt;=5,"SMASH BUY",IF(B70&gt;=2,"BUY",IF(B70&gt;=-1,"NEUTRAL",IF(B70&gt;=-4,"AVOID","DO NOT BID"))))</f>
        <v>AVOID</v>
      </c>
      <c r="D70" s="18" t="str">
        <f aca="false">IF(COUNTIFS('Auction Log'!$B$5:$B$304,A70,'Auction Log'!$D$5:$D$304,"&lt;&gt;",'Auction Log'!$E$5:$E$304,"&gt;0")=0,"Available",IFERROR(INDEX('Auction Log'!$D$5:$D$304,MATCH(1,('Auction Log'!$B$5:$B$304=A70)*('Auction Log'!$D$5:$D$304&lt;&gt;"")*('Auction Log'!$E$5:$E$304&gt;0),0)),"SOLD"))</f>
        <v>Available</v>
      </c>
      <c r="E70" s="19" t="str">
        <f aca="false">IF(COUNTIFS('Auction Log'!$B$5:$B$304,A70,'Auction Log'!$D$5:$D$304,"&lt;&gt;",'Auction Log'!$E$5:$E$304,"&gt;0")=0,"",IFERROR(INDEX('Auction Log'!$E$5:$E$304,MATCH(1,('Auction Log'!$B$5:$B$304=A70)*('Auction Log'!$D$5:$D$304&lt;&gt;"")*('Auction Log'!$E$5:$E$304&gt;0),0)),""))</f>
        <v/>
      </c>
      <c r="F70" s="18" t="s">
        <v>171</v>
      </c>
      <c r="G70" s="18" t="s">
        <v>26</v>
      </c>
      <c r="H70" s="18" t="n">
        <v>10</v>
      </c>
      <c r="I70" s="18" t="n">
        <v>82</v>
      </c>
      <c r="J70" s="18" t="n">
        <v>7</v>
      </c>
      <c r="K70" s="36" t="n">
        <v>199</v>
      </c>
      <c r="L70" s="36" t="n">
        <v>204</v>
      </c>
      <c r="M70" s="19" t="n">
        <v>7</v>
      </c>
      <c r="N70" s="19" t="n">
        <v>18</v>
      </c>
      <c r="O70" s="19" t="n">
        <v>-4</v>
      </c>
      <c r="P70" s="19" t="n">
        <v>0</v>
      </c>
      <c r="Q70" s="19" t="n">
        <v>0</v>
      </c>
      <c r="R70" s="19" t="n">
        <v>15</v>
      </c>
      <c r="S70" s="19" t="n">
        <v>13</v>
      </c>
      <c r="T70" s="18" t="s">
        <v>125</v>
      </c>
      <c r="U70" s="32"/>
      <c r="V70" s="19" t="str">
        <f aca="false">IF(E70="","",R70-E70)</f>
        <v/>
      </c>
      <c r="W70" s="18" t="s">
        <v>98</v>
      </c>
      <c r="X70" s="4" t="n">
        <f aca="false">IF(AND(D70="Available",R70&gt;=55),ROW(),9999)</f>
        <v>9999</v>
      </c>
      <c r="Y70" s="4" t="n">
        <f aca="false">IF(AND(D70="Available",R70&gt;=40,R70&lt;55),ROW(),9999)</f>
        <v>9999</v>
      </c>
      <c r="Z70" s="4" t="n">
        <f aca="false">IF(AND(D70="Available",R70&gt;=25,R70&lt;40),ROW(),9999)</f>
        <v>9999</v>
      </c>
      <c r="AA70" s="35" t="n">
        <f aca="false">IF(K70="","",IF(L70="",K70,ROUND(AVERAGE(K70,L70),0)))</f>
        <v>202</v>
      </c>
    </row>
    <row r="71" customFormat="false" ht="15" hidden="false" customHeight="false" outlineLevel="0" collapsed="false">
      <c r="A71" s="18" t="s">
        <v>207</v>
      </c>
      <c r="B71" s="19" t="n">
        <f aca="false">R71-N71</f>
        <v>0</v>
      </c>
      <c r="C71" s="18" t="str">
        <f aca="false">IF(B71&gt;=5,"SMASH BUY",IF(B71&gt;=2,"BUY",IF(B71&gt;=-1,"NEUTRAL",IF(B71&gt;=-4,"AVOID","DO NOT BID"))))</f>
        <v>NEUTRAL</v>
      </c>
      <c r="D71" s="18" t="str">
        <f aca="false">IF(COUNTIFS('Auction Log'!$B$5:$B$304,A71,'Auction Log'!$D$5:$D$304,"&lt;&gt;",'Auction Log'!$E$5:$E$304,"&gt;0")=0,"Available",IFERROR(INDEX('Auction Log'!$D$5:$D$304,MATCH(1,('Auction Log'!$B$5:$B$304=A71)*('Auction Log'!$D$5:$D$304&lt;&gt;"")*('Auction Log'!$E$5:$E$304&gt;0),0)),"SOLD"))</f>
        <v>Available</v>
      </c>
      <c r="E71" s="19" t="str">
        <f aca="false">IF(COUNTIFS('Auction Log'!$B$5:$B$304,A71,'Auction Log'!$D$5:$D$304,"&lt;&gt;",'Auction Log'!$E$5:$E$304,"&gt;0")=0,"",IFERROR(INDEX('Auction Log'!$E$5:$E$304,MATCH(1,('Auction Log'!$B$5:$B$304=A71)*('Auction Log'!$D$5:$D$304&lt;&gt;"")*('Auction Log'!$E$5:$E$304&gt;0),0)),""))</f>
        <v/>
      </c>
      <c r="F71" s="18" t="s">
        <v>138</v>
      </c>
      <c r="G71" s="18" t="s">
        <v>16</v>
      </c>
      <c r="H71" s="18" t="n">
        <v>10</v>
      </c>
      <c r="I71" s="18" t="n">
        <v>58</v>
      </c>
      <c r="J71" s="18" t="n">
        <v>6</v>
      </c>
      <c r="K71" s="36" t="n">
        <v>320</v>
      </c>
      <c r="L71" s="36" t="n">
        <v>320</v>
      </c>
      <c r="M71" s="19" t="n">
        <v>9</v>
      </c>
      <c r="N71" s="19" t="n">
        <v>14</v>
      </c>
      <c r="O71" s="19" t="n">
        <v>0</v>
      </c>
      <c r="P71" s="19" t="n">
        <v>-1</v>
      </c>
      <c r="Q71" s="19" t="n">
        <v>0</v>
      </c>
      <c r="R71" s="19" t="n">
        <v>14</v>
      </c>
      <c r="S71" s="19" t="n">
        <v>12</v>
      </c>
      <c r="T71" s="18" t="s">
        <v>125</v>
      </c>
      <c r="U71" s="32"/>
      <c r="V71" s="19" t="str">
        <f aca="false">IF(E71="","",R71-E71)</f>
        <v/>
      </c>
      <c r="W71" s="18" t="s">
        <v>98</v>
      </c>
      <c r="X71" s="4" t="n">
        <f aca="false">IF(AND(D71="Available",R71&gt;=55),ROW(),9999)</f>
        <v>9999</v>
      </c>
      <c r="Y71" s="4" t="n">
        <f aca="false">IF(AND(D71="Available",R71&gt;=40,R71&lt;55),ROW(),9999)</f>
        <v>9999</v>
      </c>
      <c r="Z71" s="4" t="n">
        <f aca="false">IF(AND(D71="Available",R71&gt;=25,R71&lt;40),ROW(),9999)</f>
        <v>9999</v>
      </c>
      <c r="AA71" s="35" t="n">
        <f aca="false">IF(K71="","",IF(L71="",K71,ROUND(AVERAGE(K71,L71),0)))</f>
        <v>320</v>
      </c>
    </row>
    <row r="72" customFormat="false" ht="28.5" hidden="false" customHeight="true" outlineLevel="0" collapsed="false">
      <c r="A72" s="18" t="s">
        <v>208</v>
      </c>
      <c r="B72" s="19" t="n">
        <f aca="false">R72-N72</f>
        <v>0</v>
      </c>
      <c r="C72" s="18" t="str">
        <f aca="false">IF(B72&gt;=5,"SMASH BUY",IF(B72&gt;=2,"BUY",IF(B72&gt;=-1,"NEUTRAL",IF(B72&gt;=-4,"AVOID","DO NOT BID"))))</f>
        <v>NEUTRAL</v>
      </c>
      <c r="D72" s="18" t="str">
        <f aca="false">IF(COUNTIFS('Auction Log'!$B$5:$B$304,A72,'Auction Log'!$D$5:$D$304,"&lt;&gt;",'Auction Log'!$E$5:$E$304,"&gt;0")=0,"Available",IFERROR(INDEX('Auction Log'!$D$5:$D$304,MATCH(1,('Auction Log'!$B$5:$B$304=A72)*('Auction Log'!$D$5:$D$304&lt;&gt;"")*('Auction Log'!$E$5:$E$304&gt;0),0)),"SOLD"))</f>
        <v>Available</v>
      </c>
      <c r="E72" s="19" t="str">
        <f aca="false">IF(COUNTIFS('Auction Log'!$B$5:$B$304,A72,'Auction Log'!$D$5:$D$304,"&lt;&gt;",'Auction Log'!$E$5:$E$304,"&gt;0")=0,"",IFERROR(INDEX('Auction Log'!$E$5:$E$304,MATCH(1,('Auction Log'!$B$5:$B$304=A72)*('Auction Log'!$D$5:$D$304&lt;&gt;"")*('Auction Log'!$E$5:$E$304&gt;0),0)),""))</f>
        <v/>
      </c>
      <c r="F72" s="18" t="s">
        <v>196</v>
      </c>
      <c r="G72" s="18" t="s">
        <v>26</v>
      </c>
      <c r="H72" s="18" t="n">
        <v>7</v>
      </c>
      <c r="I72" s="18" t="n">
        <v>63</v>
      </c>
      <c r="J72" s="18" t="n">
        <v>6</v>
      </c>
      <c r="K72" s="36" t="n">
        <v>184</v>
      </c>
      <c r="L72" s="36" t="n">
        <v>187</v>
      </c>
      <c r="M72" s="19" t="n">
        <v>6</v>
      </c>
      <c r="N72" s="19" t="n">
        <v>14</v>
      </c>
      <c r="O72" s="19" t="n">
        <v>-1</v>
      </c>
      <c r="P72" s="19" t="n">
        <v>0</v>
      </c>
      <c r="Q72" s="19" t="n">
        <v>0</v>
      </c>
      <c r="R72" s="19" t="n">
        <v>14</v>
      </c>
      <c r="S72" s="19" t="n">
        <v>12</v>
      </c>
      <c r="T72" s="18" t="s">
        <v>97</v>
      </c>
      <c r="U72" s="32" t="s">
        <v>209</v>
      </c>
      <c r="V72" s="19" t="str">
        <f aca="false">IF(E72="","",R72-E72)</f>
        <v/>
      </c>
      <c r="W72" s="18" t="s">
        <v>98</v>
      </c>
      <c r="X72" s="4" t="n">
        <f aca="false">IF(AND(D72="Available",R72&gt;=55),ROW(),9999)</f>
        <v>9999</v>
      </c>
      <c r="Y72" s="4" t="n">
        <f aca="false">IF(AND(D72="Available",R72&gt;=40,R72&lt;55),ROW(),9999)</f>
        <v>9999</v>
      </c>
      <c r="Z72" s="4" t="n">
        <f aca="false">IF(AND(D72="Available",R72&gt;=25,R72&lt;40),ROW(),9999)</f>
        <v>9999</v>
      </c>
      <c r="AA72" s="35" t="n">
        <f aca="false">IF(K72="","",IF(L72="",K72,ROUND(AVERAGE(K72,L72),0)))</f>
        <v>186</v>
      </c>
    </row>
    <row r="73" customFormat="false" ht="15" hidden="false" customHeight="false" outlineLevel="0" collapsed="false">
      <c r="A73" s="18" t="s">
        <v>210</v>
      </c>
      <c r="B73" s="19" t="n">
        <f aca="false">R73-N73</f>
        <v>-1</v>
      </c>
      <c r="C73" s="18" t="str">
        <f aca="false">IF(B73&gt;=5,"SMASH BUY",IF(B73&gt;=2,"BUY",IF(B73&gt;=-1,"NEUTRAL",IF(B73&gt;=-4,"AVOID","DO NOT BID"))))</f>
        <v>NEUTRAL</v>
      </c>
      <c r="D73" s="18" t="str">
        <f aca="false">IF(COUNTIFS('Auction Log'!$B$5:$B$304,A73,'Auction Log'!$D$5:$D$304,"&lt;&gt;",'Auction Log'!$E$5:$E$304,"&gt;0")=0,"Available",IFERROR(INDEX('Auction Log'!$D$5:$D$304,MATCH(1,('Auction Log'!$B$5:$B$304=A73)*('Auction Log'!$D$5:$D$304&lt;&gt;"")*('Auction Log'!$E$5:$E$304&gt;0),0)),"SOLD"))</f>
        <v>Available</v>
      </c>
      <c r="E73" s="19" t="str">
        <f aca="false">IF(COUNTIFS('Auction Log'!$B$5:$B$304,A73,'Auction Log'!$D$5:$D$304,"&lt;&gt;",'Auction Log'!$E$5:$E$304,"&gt;0")=0,"",IFERROR(INDEX('Auction Log'!$E$5:$E$304,MATCH(1,('Auction Log'!$B$5:$B$304=A73)*('Auction Log'!$D$5:$D$304&lt;&gt;"")*('Auction Log'!$E$5:$E$304&gt;0),0)),""))</f>
        <v/>
      </c>
      <c r="F73" s="18" t="s">
        <v>130</v>
      </c>
      <c r="G73" s="18" t="s">
        <v>21</v>
      </c>
      <c r="H73" s="18" t="n">
        <v>11</v>
      </c>
      <c r="I73" s="18" t="n">
        <v>68</v>
      </c>
      <c r="J73" s="18" t="n">
        <v>6</v>
      </c>
      <c r="K73" s="36" t="n">
        <v>192</v>
      </c>
      <c r="L73" s="36" t="n">
        <v>197</v>
      </c>
      <c r="M73" s="19" t="n">
        <v>8</v>
      </c>
      <c r="N73" s="19" t="n">
        <v>15</v>
      </c>
      <c r="O73" s="19" t="n">
        <v>-2</v>
      </c>
      <c r="P73" s="19" t="n">
        <v>0</v>
      </c>
      <c r="Q73" s="19" t="n">
        <v>0</v>
      </c>
      <c r="R73" s="19" t="n">
        <v>14</v>
      </c>
      <c r="S73" s="19" t="n">
        <v>12</v>
      </c>
      <c r="T73" s="18" t="s">
        <v>125</v>
      </c>
      <c r="U73" s="32"/>
      <c r="V73" s="19" t="str">
        <f aca="false">IF(E73="","",R73-E73)</f>
        <v/>
      </c>
      <c r="W73" s="18" t="s">
        <v>98</v>
      </c>
      <c r="X73" s="4" t="n">
        <f aca="false">IF(AND(D73="Available",R73&gt;=55),ROW(),9999)</f>
        <v>9999</v>
      </c>
      <c r="Y73" s="4" t="n">
        <f aca="false">IF(AND(D73="Available",R73&gt;=40,R73&lt;55),ROW(),9999)</f>
        <v>9999</v>
      </c>
      <c r="Z73" s="4" t="n">
        <f aca="false">IF(AND(D73="Available",R73&gt;=25,R73&lt;40),ROW(),9999)</f>
        <v>9999</v>
      </c>
      <c r="AA73" s="35" t="n">
        <f aca="false">IF(K73="","",IF(L73="",K73,ROUND(AVERAGE(K73,L73),0)))</f>
        <v>195</v>
      </c>
    </row>
    <row r="74" customFormat="false" ht="15" hidden="false" customHeight="false" outlineLevel="0" collapsed="false">
      <c r="A74" s="18" t="s">
        <v>211</v>
      </c>
      <c r="B74" s="19" t="n">
        <f aca="false">R74-N74</f>
        <v>0</v>
      </c>
      <c r="C74" s="18" t="str">
        <f aca="false">IF(B74&gt;=5,"SMASH BUY",IF(B74&gt;=2,"BUY",IF(B74&gt;=-1,"NEUTRAL",IF(B74&gt;=-4,"AVOID","DO NOT BID"))))</f>
        <v>NEUTRAL</v>
      </c>
      <c r="D74" s="18" t="str">
        <f aca="false">IF(COUNTIFS('Auction Log'!$B$5:$B$304,A74,'Auction Log'!$D$5:$D$304,"&lt;&gt;",'Auction Log'!$E$5:$E$304,"&gt;0")=0,"Available",IFERROR(INDEX('Auction Log'!$D$5:$D$304,MATCH(1,('Auction Log'!$B$5:$B$304=A74)*('Auction Log'!$D$5:$D$304&lt;&gt;"")*('Auction Log'!$E$5:$E$304&gt;0),0)),"SOLD"))</f>
        <v>Available</v>
      </c>
      <c r="E74" s="19" t="str">
        <f aca="false">IF(COUNTIFS('Auction Log'!$B$5:$B$304,A74,'Auction Log'!$D$5:$D$304,"&lt;&gt;",'Auction Log'!$E$5:$E$304,"&gt;0")=0,"",IFERROR(INDEX('Auction Log'!$E$5:$E$304,MATCH(1,('Auction Log'!$B$5:$B$304=A74)*('Auction Log'!$D$5:$D$304&lt;&gt;"")*('Auction Log'!$E$5:$E$304&gt;0),0)),""))</f>
        <v/>
      </c>
      <c r="F74" s="18" t="s">
        <v>104</v>
      </c>
      <c r="G74" s="18" t="s">
        <v>21</v>
      </c>
      <c r="H74" s="18" t="n">
        <v>11</v>
      </c>
      <c r="I74" s="18" t="n">
        <v>70</v>
      </c>
      <c r="J74" s="18" t="n">
        <v>6</v>
      </c>
      <c r="K74" s="36" t="n">
        <v>190</v>
      </c>
      <c r="L74" s="36" t="n">
        <v>194</v>
      </c>
      <c r="M74" s="19" t="n">
        <v>8</v>
      </c>
      <c r="N74" s="19" t="n">
        <v>14</v>
      </c>
      <c r="O74" s="19" t="n">
        <v>-1</v>
      </c>
      <c r="P74" s="19" t="n">
        <v>0</v>
      </c>
      <c r="Q74" s="19" t="n">
        <v>0</v>
      </c>
      <c r="R74" s="19" t="n">
        <v>14</v>
      </c>
      <c r="S74" s="19" t="n">
        <v>12</v>
      </c>
      <c r="T74" s="18" t="s">
        <v>97</v>
      </c>
      <c r="U74" s="32"/>
      <c r="V74" s="19" t="str">
        <f aca="false">IF(E74="","",R74-E74)</f>
        <v/>
      </c>
      <c r="W74" s="18" t="s">
        <v>98</v>
      </c>
      <c r="X74" s="4" t="n">
        <f aca="false">IF(AND(D74="Available",R74&gt;=55),ROW(),9999)</f>
        <v>9999</v>
      </c>
      <c r="Y74" s="4" t="n">
        <f aca="false">IF(AND(D74="Available",R74&gt;=40,R74&lt;55),ROW(),9999)</f>
        <v>9999</v>
      </c>
      <c r="Z74" s="4" t="n">
        <f aca="false">IF(AND(D74="Available",R74&gt;=25,R74&lt;40),ROW(),9999)</f>
        <v>9999</v>
      </c>
      <c r="AA74" s="35" t="n">
        <f aca="false">IF(K74="","",IF(L74="",K74,ROUND(AVERAGE(K74,L74),0)))</f>
        <v>192</v>
      </c>
    </row>
    <row r="75" customFormat="false" ht="15" hidden="false" customHeight="false" outlineLevel="0" collapsed="false">
      <c r="A75" s="18" t="s">
        <v>212</v>
      </c>
      <c r="B75" s="19" t="n">
        <f aca="false">R75-N75</f>
        <v>-1</v>
      </c>
      <c r="C75" s="18" t="str">
        <f aca="false">IF(B75&gt;=5,"SMASH BUY",IF(B75&gt;=2,"BUY",IF(B75&gt;=-1,"NEUTRAL",IF(B75&gt;=-4,"AVOID","DO NOT BID"))))</f>
        <v>NEUTRAL</v>
      </c>
      <c r="D75" s="18" t="str">
        <f aca="false">IF(COUNTIFS('Auction Log'!$B$5:$B$304,A75,'Auction Log'!$D$5:$D$304,"&lt;&gt;",'Auction Log'!$E$5:$E$304,"&gt;0")=0,"Available",IFERROR(INDEX('Auction Log'!$D$5:$D$304,MATCH(1,('Auction Log'!$B$5:$B$304=A75)*('Auction Log'!$D$5:$D$304&lt;&gt;"")*('Auction Log'!$E$5:$E$304&gt;0),0)),"SOLD"))</f>
        <v>Available</v>
      </c>
      <c r="E75" s="19" t="str">
        <f aca="false">IF(COUNTIFS('Auction Log'!$B$5:$B$304,A75,'Auction Log'!$D$5:$D$304,"&lt;&gt;",'Auction Log'!$E$5:$E$304,"&gt;0")=0,"",IFERROR(INDEX('Auction Log'!$E$5:$E$304,MATCH(1,('Auction Log'!$B$5:$B$304=A75)*('Auction Log'!$D$5:$D$304&lt;&gt;"")*('Auction Log'!$E$5:$E$304&gt;0),0)),""))</f>
        <v/>
      </c>
      <c r="F75" s="18" t="s">
        <v>185</v>
      </c>
      <c r="G75" s="18" t="s">
        <v>30</v>
      </c>
      <c r="H75" s="18" t="n">
        <v>11</v>
      </c>
      <c r="I75" s="18" t="n">
        <v>71</v>
      </c>
      <c r="J75" s="18" t="n">
        <v>7</v>
      </c>
      <c r="K75" s="36" t="n">
        <v>192</v>
      </c>
      <c r="L75" s="36" t="n">
        <v>188</v>
      </c>
      <c r="M75" s="19" t="n">
        <v>6</v>
      </c>
      <c r="N75" s="19" t="n">
        <v>15</v>
      </c>
      <c r="O75" s="19" t="n">
        <v>-2</v>
      </c>
      <c r="P75" s="19" t="n">
        <v>0</v>
      </c>
      <c r="Q75" s="19" t="n">
        <v>0</v>
      </c>
      <c r="R75" s="19" t="n">
        <v>14</v>
      </c>
      <c r="S75" s="19" t="n">
        <v>12</v>
      </c>
      <c r="T75" s="18" t="s">
        <v>97</v>
      </c>
      <c r="U75" s="32"/>
      <c r="V75" s="19" t="str">
        <f aca="false">IF(E75="","",R75-E75)</f>
        <v/>
      </c>
      <c r="W75" s="18" t="s">
        <v>98</v>
      </c>
      <c r="X75" s="4" t="n">
        <f aca="false">IF(AND(D75="Available",R75&gt;=55),ROW(),9999)</f>
        <v>9999</v>
      </c>
      <c r="Y75" s="4" t="n">
        <f aca="false">IF(AND(D75="Available",R75&gt;=40,R75&lt;55),ROW(),9999)</f>
        <v>9999</v>
      </c>
      <c r="Z75" s="4" t="n">
        <f aca="false">IF(AND(D75="Available",R75&gt;=25,R75&lt;40),ROW(),9999)</f>
        <v>9999</v>
      </c>
      <c r="AA75" s="35" t="n">
        <f aca="false">IF(K75="","",IF(L75="",K75,ROUND(AVERAGE(K75,L75),0)))</f>
        <v>190</v>
      </c>
    </row>
    <row r="76" customFormat="false" ht="15" hidden="false" customHeight="false" outlineLevel="0" collapsed="false">
      <c r="A76" s="18" t="s">
        <v>213</v>
      </c>
      <c r="B76" s="19" t="n">
        <f aca="false">R76-N76</f>
        <v>-2</v>
      </c>
      <c r="C76" s="18" t="str">
        <f aca="false">IF(B76&gt;=5,"SMASH BUY",IF(B76&gt;=2,"BUY",IF(B76&gt;=-1,"NEUTRAL",IF(B76&gt;=-4,"AVOID","DO NOT BID"))))</f>
        <v>AVOID</v>
      </c>
      <c r="D76" s="18" t="str">
        <f aca="false">IF(COUNTIFS('Auction Log'!$B$5:$B$304,A76,'Auction Log'!$D$5:$D$304,"&lt;&gt;",'Auction Log'!$E$5:$E$304,"&gt;0")=0,"Available",IFERROR(INDEX('Auction Log'!$D$5:$D$304,MATCH(1,('Auction Log'!$B$5:$B$304=A76)*('Auction Log'!$D$5:$D$304&lt;&gt;"")*('Auction Log'!$E$5:$E$304&gt;0),0)),"SOLD"))</f>
        <v>Available</v>
      </c>
      <c r="E76" s="19" t="str">
        <f aca="false">IF(COUNTIFS('Auction Log'!$B$5:$B$304,A76,'Auction Log'!$D$5:$D$304,"&lt;&gt;",'Auction Log'!$E$5:$E$304,"&gt;0")=0,"",IFERROR(INDEX('Auction Log'!$E$5:$E$304,MATCH(1,('Auction Log'!$B$5:$B$304=A76)*('Auction Log'!$D$5:$D$304&lt;&gt;"")*('Auction Log'!$E$5:$E$304&gt;0),0)),""))</f>
        <v/>
      </c>
      <c r="F76" s="18" t="s">
        <v>204</v>
      </c>
      <c r="G76" s="18" t="s">
        <v>21</v>
      </c>
      <c r="H76" s="18" t="n">
        <v>9</v>
      </c>
      <c r="I76" s="18" t="n">
        <v>72</v>
      </c>
      <c r="J76" s="18" t="n">
        <v>7</v>
      </c>
      <c r="K76" s="36" t="n">
        <v>197</v>
      </c>
      <c r="L76" s="36" t="n">
        <v>192</v>
      </c>
      <c r="M76" s="19" t="n">
        <v>3</v>
      </c>
      <c r="N76" s="19" t="n">
        <v>16</v>
      </c>
      <c r="O76" s="19" t="n">
        <v>-3</v>
      </c>
      <c r="P76" s="19" t="n">
        <v>0</v>
      </c>
      <c r="Q76" s="19" t="n">
        <v>0</v>
      </c>
      <c r="R76" s="19" t="n">
        <v>14</v>
      </c>
      <c r="S76" s="19" t="n">
        <v>12</v>
      </c>
      <c r="T76" s="18" t="s">
        <v>125</v>
      </c>
      <c r="U76" s="32"/>
      <c r="V76" s="19" t="str">
        <f aca="false">IF(E76="","",R76-E76)</f>
        <v/>
      </c>
      <c r="W76" s="18" t="s">
        <v>98</v>
      </c>
      <c r="X76" s="4" t="n">
        <f aca="false">IF(AND(D76="Available",R76&gt;=55),ROW(),9999)</f>
        <v>9999</v>
      </c>
      <c r="Y76" s="4" t="n">
        <f aca="false">IF(AND(D76="Available",R76&gt;=40,R76&lt;55),ROW(),9999)</f>
        <v>9999</v>
      </c>
      <c r="Z76" s="4" t="n">
        <f aca="false">IF(AND(D76="Available",R76&gt;=25,R76&lt;40),ROW(),9999)</f>
        <v>9999</v>
      </c>
      <c r="AA76" s="35" t="n">
        <f aca="false">IF(K76="","",IF(L76="",K76,ROUND(AVERAGE(K76,L76),0)))</f>
        <v>195</v>
      </c>
    </row>
    <row r="77" customFormat="false" ht="15" hidden="false" customHeight="false" outlineLevel="0" collapsed="false">
      <c r="A77" s="18" t="s">
        <v>70</v>
      </c>
      <c r="B77" s="19" t="n">
        <f aca="false">R77-N77</f>
        <v>-2</v>
      </c>
      <c r="C77" s="18" t="str">
        <f aca="false">IF(B77&gt;=5,"SMASH BUY",IF(B77&gt;=2,"BUY",IF(B77&gt;=-1,"NEUTRAL",IF(B77&gt;=-4,"AVOID","DO NOT BID"))))</f>
        <v>AVOID</v>
      </c>
      <c r="D77" s="18" t="str">
        <f aca="false">IF(COUNTIFS('Auction Log'!$B$5:$B$304,A77,'Auction Log'!$D$5:$D$304,"&lt;&gt;",'Auction Log'!$E$5:$E$304,"&gt;0")=0,"Available",IFERROR(INDEX('Auction Log'!$D$5:$D$304,MATCH(1,('Auction Log'!$B$5:$B$304=A77)*('Auction Log'!$D$5:$D$304&lt;&gt;"")*('Auction Log'!$E$5:$E$304&gt;0),0)),"SOLD"))</f>
        <v>Available</v>
      </c>
      <c r="E77" s="19" t="str">
        <f aca="false">IF(COUNTIFS('Auction Log'!$B$5:$B$304,A77,'Auction Log'!$D$5:$D$304,"&lt;&gt;",'Auction Log'!$E$5:$E$304,"&gt;0")=0,"",IFERROR(INDEX('Auction Log'!$E$5:$E$304,MATCH(1,('Auction Log'!$B$5:$B$304=A77)*('Auction Log'!$D$5:$D$304&lt;&gt;"")*('Auction Log'!$E$5:$E$304&gt;0),0)),""))</f>
        <v/>
      </c>
      <c r="F77" s="18" t="s">
        <v>102</v>
      </c>
      <c r="G77" s="18" t="s">
        <v>30</v>
      </c>
      <c r="H77" s="18" t="n">
        <v>11</v>
      </c>
      <c r="I77" s="18" t="n">
        <v>81</v>
      </c>
      <c r="J77" s="18" t="n">
        <v>7</v>
      </c>
      <c r="K77" s="36" t="n">
        <v>196</v>
      </c>
      <c r="L77" s="36" t="n">
        <v>185</v>
      </c>
      <c r="M77" s="19" t="n">
        <v>6</v>
      </c>
      <c r="N77" s="19" t="n">
        <v>16</v>
      </c>
      <c r="O77" s="19" t="n">
        <v>-4</v>
      </c>
      <c r="P77" s="19" t="n">
        <v>1</v>
      </c>
      <c r="Q77" s="19" t="n">
        <v>0</v>
      </c>
      <c r="R77" s="19" t="n">
        <v>14</v>
      </c>
      <c r="S77" s="19" t="n">
        <v>12</v>
      </c>
      <c r="T77" s="18" t="s">
        <v>97</v>
      </c>
      <c r="U77" s="32"/>
      <c r="V77" s="19" t="str">
        <f aca="false">IF(E77="","",R77-E77)</f>
        <v/>
      </c>
      <c r="W77" s="18" t="s">
        <v>98</v>
      </c>
      <c r="X77" s="4" t="n">
        <f aca="false">IF(AND(D77="Available",R77&gt;=55),ROW(),9999)</f>
        <v>9999</v>
      </c>
      <c r="Y77" s="4" t="n">
        <f aca="false">IF(AND(D77="Available",R77&gt;=40,R77&lt;55),ROW(),9999)</f>
        <v>9999</v>
      </c>
      <c r="Z77" s="4" t="n">
        <f aca="false">IF(AND(D77="Available",R77&gt;=25,R77&lt;40),ROW(),9999)</f>
        <v>9999</v>
      </c>
      <c r="AA77" s="35" t="n">
        <f aca="false">IF(K77="","",IF(L77="",K77,ROUND(AVERAGE(K77,L77),0)))</f>
        <v>191</v>
      </c>
    </row>
    <row r="78" customFormat="false" ht="28.5" hidden="false" customHeight="true" outlineLevel="0" collapsed="false">
      <c r="A78" s="18" t="s">
        <v>214</v>
      </c>
      <c r="B78" s="19" t="n">
        <f aca="false">R78-N78</f>
        <v>-2</v>
      </c>
      <c r="C78" s="18" t="str">
        <f aca="false">IF(B78&gt;=5,"SMASH BUY",IF(B78&gt;=2,"BUY",IF(B78&gt;=-1,"NEUTRAL",IF(B78&gt;=-4,"AVOID","DO NOT BID"))))</f>
        <v>AVOID</v>
      </c>
      <c r="D78" s="18" t="str">
        <f aca="false">IF(COUNTIFS('Auction Log'!$B$5:$B$304,A78,'Auction Log'!$D$5:$D$304,"&lt;&gt;",'Auction Log'!$E$5:$E$304,"&gt;0")=0,"Available",IFERROR(INDEX('Auction Log'!$D$5:$D$304,MATCH(1,('Auction Log'!$B$5:$B$304=A78)*('Auction Log'!$D$5:$D$304&lt;&gt;"")*('Auction Log'!$E$5:$E$304&gt;0),0)),"SOLD"))</f>
        <v>Available</v>
      </c>
      <c r="E78" s="19" t="str">
        <f aca="false">IF(COUNTIFS('Auction Log'!$B$5:$B$304,A78,'Auction Log'!$D$5:$D$304,"&lt;&gt;",'Auction Log'!$E$5:$E$304,"&gt;0")=0,"",IFERROR(INDEX('Auction Log'!$E$5:$E$304,MATCH(1,('Auction Log'!$B$5:$B$304=A78)*('Auction Log'!$D$5:$D$304&lt;&gt;"")*('Auction Log'!$E$5:$E$304&gt;0),0)),""))</f>
        <v/>
      </c>
      <c r="F78" s="18" t="s">
        <v>113</v>
      </c>
      <c r="G78" s="18" t="s">
        <v>26</v>
      </c>
      <c r="H78" s="18" t="n">
        <v>13</v>
      </c>
      <c r="I78" s="18" t="n">
        <v>100</v>
      </c>
      <c r="J78" s="18" t="n">
        <v>8</v>
      </c>
      <c r="K78" s="36" t="n">
        <v>192</v>
      </c>
      <c r="L78" s="36" t="n">
        <v>187</v>
      </c>
      <c r="M78" s="19" t="n">
        <v>6</v>
      </c>
      <c r="N78" s="19" t="n">
        <v>16</v>
      </c>
      <c r="O78" s="19" t="n">
        <v>-4</v>
      </c>
      <c r="P78" s="19" t="n">
        <v>1</v>
      </c>
      <c r="Q78" s="19" t="n">
        <v>0</v>
      </c>
      <c r="R78" s="19" t="n">
        <v>14</v>
      </c>
      <c r="S78" s="19" t="n">
        <v>12</v>
      </c>
      <c r="T78" s="18" t="s">
        <v>125</v>
      </c>
      <c r="U78" s="32" t="s">
        <v>215</v>
      </c>
      <c r="V78" s="19" t="str">
        <f aca="false">IF(E78="","",R78-E78)</f>
        <v/>
      </c>
      <c r="W78" s="18" t="s">
        <v>98</v>
      </c>
      <c r="X78" s="4" t="n">
        <f aca="false">IF(AND(D78="Available",R78&gt;=55),ROW(),9999)</f>
        <v>9999</v>
      </c>
      <c r="Y78" s="4" t="n">
        <f aca="false">IF(AND(D78="Available",R78&gt;=40,R78&lt;55),ROW(),9999)</f>
        <v>9999</v>
      </c>
      <c r="Z78" s="4" t="n">
        <f aca="false">IF(AND(D78="Available",R78&gt;=25,R78&lt;40),ROW(),9999)</f>
        <v>9999</v>
      </c>
      <c r="AA78" s="35" t="n">
        <f aca="false">IF(K78="","",IF(L78="",K78,ROUND(AVERAGE(K78,L78),0)))</f>
        <v>190</v>
      </c>
    </row>
    <row r="79" customFormat="false" ht="15" hidden="false" customHeight="false" outlineLevel="0" collapsed="false">
      <c r="A79" s="18" t="s">
        <v>216</v>
      </c>
      <c r="B79" s="19" t="n">
        <f aca="false">R79-N79</f>
        <v>4</v>
      </c>
      <c r="C79" s="18" t="str">
        <f aca="false">IF(B79&gt;=5,"SMASH BUY",IF(B79&gt;=2,"BUY",IF(B79&gt;=-1,"NEUTRAL",IF(B79&gt;=-4,"AVOID","DO NOT BID"))))</f>
        <v>BUY</v>
      </c>
      <c r="D79" s="18" t="str">
        <f aca="false">IF(COUNTIFS('Auction Log'!$B$5:$B$304,A79,'Auction Log'!$D$5:$D$304,"&lt;&gt;",'Auction Log'!$E$5:$E$304,"&gt;0")=0,"Available",IFERROR(INDEX('Auction Log'!$D$5:$D$304,MATCH(1,('Auction Log'!$B$5:$B$304=A79)*('Auction Log'!$D$5:$D$304&lt;&gt;"")*('Auction Log'!$E$5:$E$304&gt;0),0)),"SOLD"))</f>
        <v>Available</v>
      </c>
      <c r="E79" s="19" t="str">
        <f aca="false">IF(COUNTIFS('Auction Log'!$B$5:$B$304,A79,'Auction Log'!$D$5:$D$304,"&lt;&gt;",'Auction Log'!$E$5:$E$304,"&gt;0")=0,"",IFERROR(INDEX('Auction Log'!$E$5:$E$304,MATCH(1,('Auction Log'!$B$5:$B$304=A79)*('Auction Log'!$D$5:$D$304&lt;&gt;"")*('Auction Log'!$E$5:$E$304&gt;0),0)),""))</f>
        <v/>
      </c>
      <c r="F79" s="18" t="s">
        <v>115</v>
      </c>
      <c r="G79" s="18" t="s">
        <v>16</v>
      </c>
      <c r="H79" s="18" t="n">
        <v>14</v>
      </c>
      <c r="I79" s="18" t="n">
        <v>76</v>
      </c>
      <c r="J79" s="18" t="n">
        <v>7</v>
      </c>
      <c r="K79" s="36" t="n">
        <v>306</v>
      </c>
      <c r="L79" s="36" t="n">
        <v>287</v>
      </c>
      <c r="M79" s="19" t="n">
        <v>4</v>
      </c>
      <c r="N79" s="19" t="n">
        <v>9</v>
      </c>
      <c r="O79" s="19" t="n">
        <v>2</v>
      </c>
      <c r="P79" s="19" t="n">
        <v>1</v>
      </c>
      <c r="Q79" s="19" t="n">
        <v>0</v>
      </c>
      <c r="R79" s="19" t="n">
        <v>13</v>
      </c>
      <c r="S79" s="19" t="n">
        <v>11</v>
      </c>
      <c r="T79" s="18" t="s">
        <v>97</v>
      </c>
      <c r="U79" s="32"/>
      <c r="V79" s="19" t="str">
        <f aca="false">IF(E79="","",R79-E79)</f>
        <v/>
      </c>
      <c r="W79" s="18" t="s">
        <v>98</v>
      </c>
      <c r="X79" s="4" t="n">
        <f aca="false">IF(AND(D79="Available",R79&gt;=55),ROW(),9999)</f>
        <v>9999</v>
      </c>
      <c r="Y79" s="4" t="n">
        <f aca="false">IF(AND(D79="Available",R79&gt;=40,R79&lt;55),ROW(),9999)</f>
        <v>9999</v>
      </c>
      <c r="Z79" s="4" t="n">
        <f aca="false">IF(AND(D79="Available",R79&gt;=25,R79&lt;40),ROW(),9999)</f>
        <v>9999</v>
      </c>
      <c r="AA79" s="35" t="n">
        <f aca="false">IF(K79="","",IF(L79="",K79,ROUND(AVERAGE(K79,L79),0)))</f>
        <v>297</v>
      </c>
    </row>
    <row r="80" customFormat="false" ht="15" hidden="false" customHeight="false" outlineLevel="0" collapsed="false">
      <c r="A80" s="18" t="s">
        <v>217</v>
      </c>
      <c r="B80" s="19" t="n">
        <f aca="false">R80-N80</f>
        <v>-2</v>
      </c>
      <c r="C80" s="18" t="str">
        <f aca="false">IF(B80&gt;=5,"SMASH BUY",IF(B80&gt;=2,"BUY",IF(B80&gt;=-1,"NEUTRAL",IF(B80&gt;=-4,"AVOID","DO NOT BID"))))</f>
        <v>AVOID</v>
      </c>
      <c r="D80" s="18" t="str">
        <f aca="false">IF(COUNTIFS('Auction Log'!$B$5:$B$304,A80,'Auction Log'!$D$5:$D$304,"&lt;&gt;",'Auction Log'!$E$5:$E$304,"&gt;0")=0,"Available",IFERROR(INDEX('Auction Log'!$D$5:$D$304,MATCH(1,('Auction Log'!$B$5:$B$304=A80)*('Auction Log'!$D$5:$D$304&lt;&gt;"")*('Auction Log'!$E$5:$E$304&gt;0),0)),"SOLD"))</f>
        <v>Available</v>
      </c>
      <c r="E80" s="19" t="str">
        <f aca="false">IF(COUNTIFS('Auction Log'!$B$5:$B$304,A80,'Auction Log'!$D$5:$D$304,"&lt;&gt;",'Auction Log'!$E$5:$E$304,"&gt;0")=0,"",IFERROR(INDEX('Auction Log'!$E$5:$E$304,MATCH(1,('Auction Log'!$B$5:$B$304=A80)*('Auction Log'!$D$5:$D$304&lt;&gt;"")*('Auction Log'!$E$5:$E$304&gt;0),0)),""))</f>
        <v/>
      </c>
      <c r="F80" s="18" t="s">
        <v>130</v>
      </c>
      <c r="G80" s="18" t="s">
        <v>21</v>
      </c>
      <c r="H80" s="18" t="n">
        <v>11</v>
      </c>
      <c r="I80" s="18" t="n">
        <v>79</v>
      </c>
      <c r="J80" s="18" t="n">
        <v>7</v>
      </c>
      <c r="K80" s="36" t="n">
        <v>191</v>
      </c>
      <c r="L80" s="36" t="n">
        <v>203</v>
      </c>
      <c r="M80" s="19" t="n">
        <v>7</v>
      </c>
      <c r="N80" s="19" t="n">
        <v>15</v>
      </c>
      <c r="O80" s="19" t="n">
        <v>-3</v>
      </c>
      <c r="P80" s="19" t="n">
        <v>0</v>
      </c>
      <c r="Q80" s="19" t="n">
        <v>0</v>
      </c>
      <c r="R80" s="19" t="n">
        <v>13</v>
      </c>
      <c r="S80" s="19" t="n">
        <v>11</v>
      </c>
      <c r="T80" s="18" t="s">
        <v>97</v>
      </c>
      <c r="U80" s="32"/>
      <c r="V80" s="19" t="str">
        <f aca="false">IF(E80="","",R80-E80)</f>
        <v/>
      </c>
      <c r="W80" s="18" t="s">
        <v>98</v>
      </c>
      <c r="X80" s="4" t="n">
        <f aca="false">IF(AND(D80="Available",R80&gt;=55),ROW(),9999)</f>
        <v>9999</v>
      </c>
      <c r="Y80" s="4" t="n">
        <f aca="false">IF(AND(D80="Available",R80&gt;=40,R80&lt;55),ROW(),9999)</f>
        <v>9999</v>
      </c>
      <c r="Z80" s="4" t="n">
        <f aca="false">IF(AND(D80="Available",R80&gt;=25,R80&lt;40),ROW(),9999)</f>
        <v>9999</v>
      </c>
      <c r="AA80" s="35" t="n">
        <f aca="false">IF(K80="","",IF(L80="",K80,ROUND(AVERAGE(K80,L80),0)))</f>
        <v>197</v>
      </c>
    </row>
    <row r="81" customFormat="false" ht="28.5" hidden="false" customHeight="true" outlineLevel="0" collapsed="false">
      <c r="A81" s="18" t="s">
        <v>218</v>
      </c>
      <c r="B81" s="19" t="n">
        <f aca="false">R81-N81</f>
        <v>-3</v>
      </c>
      <c r="C81" s="18" t="str">
        <f aca="false">IF(B81&gt;=5,"SMASH BUY",IF(B81&gt;=2,"BUY",IF(B81&gt;=-1,"NEUTRAL",IF(B81&gt;=-4,"AVOID","DO NOT BID"))))</f>
        <v>AVOID</v>
      </c>
      <c r="D81" s="18" t="str">
        <f aca="false">IF(COUNTIFS('Auction Log'!$B$5:$B$304,A81,'Auction Log'!$D$5:$D$304,"&lt;&gt;",'Auction Log'!$E$5:$E$304,"&gt;0")=0,"Available",IFERROR(INDEX('Auction Log'!$D$5:$D$304,MATCH(1,('Auction Log'!$B$5:$B$304=A81)*('Auction Log'!$D$5:$D$304&lt;&gt;"")*('Auction Log'!$E$5:$E$304&gt;0),0)),"SOLD"))</f>
        <v>Available</v>
      </c>
      <c r="E81" s="19" t="str">
        <f aca="false">IF(COUNTIFS('Auction Log'!$B$5:$B$304,A81,'Auction Log'!$D$5:$D$304,"&lt;&gt;",'Auction Log'!$E$5:$E$304,"&gt;0")=0,"",IFERROR(INDEX('Auction Log'!$E$5:$E$304,MATCH(1,('Auction Log'!$B$5:$B$304=A81)*('Auction Log'!$D$5:$D$304&lt;&gt;"")*('Auction Log'!$E$5:$E$304&gt;0),0)),""))</f>
        <v/>
      </c>
      <c r="F81" s="18" t="s">
        <v>204</v>
      </c>
      <c r="G81" s="18" t="s">
        <v>26</v>
      </c>
      <c r="H81" s="18" t="n">
        <v>9</v>
      </c>
      <c r="I81" s="18" t="n">
        <v>80</v>
      </c>
      <c r="J81" s="18" t="n">
        <v>7</v>
      </c>
      <c r="K81" s="36" t="n">
        <v>190</v>
      </c>
      <c r="L81" s="36" t="n">
        <v>197</v>
      </c>
      <c r="M81" s="19" t="n">
        <v>7</v>
      </c>
      <c r="N81" s="19" t="n">
        <v>16</v>
      </c>
      <c r="O81" s="19" t="n">
        <v>-4</v>
      </c>
      <c r="P81" s="19" t="n">
        <v>0</v>
      </c>
      <c r="Q81" s="19" t="n">
        <v>0</v>
      </c>
      <c r="R81" s="19" t="n">
        <v>13</v>
      </c>
      <c r="S81" s="19" t="n">
        <v>11</v>
      </c>
      <c r="T81" s="18" t="s">
        <v>125</v>
      </c>
      <c r="U81" s="32" t="s">
        <v>219</v>
      </c>
      <c r="V81" s="19" t="str">
        <f aca="false">IF(E81="","",R81-E81)</f>
        <v/>
      </c>
      <c r="W81" s="18" t="s">
        <v>98</v>
      </c>
      <c r="X81" s="4" t="n">
        <f aca="false">IF(AND(D81="Available",R81&gt;=55),ROW(),9999)</f>
        <v>9999</v>
      </c>
      <c r="Y81" s="4" t="n">
        <f aca="false">IF(AND(D81="Available",R81&gt;=40,R81&lt;55),ROW(),9999)</f>
        <v>9999</v>
      </c>
      <c r="Z81" s="4" t="n">
        <f aca="false">IF(AND(D81="Available",R81&gt;=25,R81&lt;40),ROW(),9999)</f>
        <v>9999</v>
      </c>
      <c r="AA81" s="35" t="n">
        <f aca="false">IF(K81="","",IF(L81="",K81,ROUND(AVERAGE(K81,L81),0)))</f>
        <v>194</v>
      </c>
    </row>
    <row r="82" customFormat="false" ht="15" hidden="false" customHeight="false" outlineLevel="0" collapsed="false">
      <c r="A82" s="18" t="s">
        <v>220</v>
      </c>
      <c r="B82" s="19" t="n">
        <f aca="false">R82-N82</f>
        <v>-1</v>
      </c>
      <c r="C82" s="18" t="str">
        <f aca="false">IF(B82&gt;=5,"SMASH BUY",IF(B82&gt;=2,"BUY",IF(B82&gt;=-1,"NEUTRAL",IF(B82&gt;=-4,"AVOID","DO NOT BID"))))</f>
        <v>NEUTRAL</v>
      </c>
      <c r="D82" s="18" t="str">
        <f aca="false">IF(COUNTIFS('Auction Log'!$B$5:$B$304,A82,'Auction Log'!$D$5:$D$304,"&lt;&gt;",'Auction Log'!$E$5:$E$304,"&gt;0")=0,"Available",IFERROR(INDEX('Auction Log'!$D$5:$D$304,MATCH(1,('Auction Log'!$B$5:$B$304=A82)*('Auction Log'!$D$5:$D$304&lt;&gt;"")*('Auction Log'!$E$5:$E$304&gt;0),0)),"SOLD"))</f>
        <v>Available</v>
      </c>
      <c r="E82" s="19" t="str">
        <f aca="false">IF(COUNTIFS('Auction Log'!$B$5:$B$304,A82,'Auction Log'!$D$5:$D$304,"&lt;&gt;",'Auction Log'!$E$5:$E$304,"&gt;0")=0,"",IFERROR(INDEX('Auction Log'!$E$5:$E$304,MATCH(1,('Auction Log'!$B$5:$B$304=A82)*('Auction Log'!$D$5:$D$304&lt;&gt;"")*('Auction Log'!$E$5:$E$304&gt;0),0)),""))</f>
        <v/>
      </c>
      <c r="F82" s="18" t="s">
        <v>202</v>
      </c>
      <c r="G82" s="18" t="s">
        <v>21</v>
      </c>
      <c r="H82" s="18" t="n">
        <v>9</v>
      </c>
      <c r="I82" s="18" t="n">
        <v>83</v>
      </c>
      <c r="J82" s="18" t="n">
        <v>7</v>
      </c>
      <c r="K82" s="36" t="n">
        <v>188</v>
      </c>
      <c r="L82" s="36" t="n">
        <v>186</v>
      </c>
      <c r="M82" s="19" t="n">
        <v>2</v>
      </c>
      <c r="N82" s="19" t="n">
        <v>14</v>
      </c>
      <c r="O82" s="19" t="n">
        <v>-3</v>
      </c>
      <c r="P82" s="19" t="n">
        <v>1</v>
      </c>
      <c r="Q82" s="19" t="n">
        <v>0</v>
      </c>
      <c r="R82" s="19" t="n">
        <v>13</v>
      </c>
      <c r="S82" s="19" t="n">
        <v>11</v>
      </c>
      <c r="T82" s="18" t="s">
        <v>125</v>
      </c>
      <c r="U82" s="32"/>
      <c r="V82" s="19" t="str">
        <f aca="false">IF(E82="","",R82-E82)</f>
        <v/>
      </c>
      <c r="W82" s="18" t="s">
        <v>98</v>
      </c>
      <c r="X82" s="4" t="n">
        <f aca="false">IF(AND(D82="Available",R82&gt;=55),ROW(),9999)</f>
        <v>9999</v>
      </c>
      <c r="Y82" s="4" t="n">
        <f aca="false">IF(AND(D82="Available",R82&gt;=40,R82&lt;55),ROW(),9999)</f>
        <v>9999</v>
      </c>
      <c r="Z82" s="4" t="n">
        <f aca="false">IF(AND(D82="Available",R82&gt;=25,R82&lt;40),ROW(),9999)</f>
        <v>9999</v>
      </c>
      <c r="AA82" s="35" t="n">
        <f aca="false">IF(K82="","",IF(L82="",K82,ROUND(AVERAGE(K82,L82),0)))</f>
        <v>187</v>
      </c>
    </row>
    <row r="83" customFormat="false" ht="15" hidden="false" customHeight="false" outlineLevel="0" collapsed="false">
      <c r="A83" s="18" t="s">
        <v>221</v>
      </c>
      <c r="B83" s="19" t="n">
        <f aca="false">R83-N83</f>
        <v>3</v>
      </c>
      <c r="C83" s="18" t="str">
        <f aca="false">IF(B83&gt;=5,"SMASH BUY",IF(B83&gt;=2,"BUY",IF(B83&gt;=-1,"NEUTRAL",IF(B83&gt;=-4,"AVOID","DO NOT BID"))))</f>
        <v>BUY</v>
      </c>
      <c r="D83" s="18" t="str">
        <f aca="false">IF(COUNTIFS('Auction Log'!$B$5:$B$304,A83,'Auction Log'!$D$5:$D$304,"&lt;&gt;",'Auction Log'!$E$5:$E$304,"&gt;0")=0,"Available",IFERROR(INDEX('Auction Log'!$D$5:$D$304,MATCH(1,('Auction Log'!$B$5:$B$304=A83)*('Auction Log'!$D$5:$D$304&lt;&gt;"")*('Auction Log'!$E$5:$E$304&gt;0),0)),"SOLD"))</f>
        <v>Available</v>
      </c>
      <c r="E83" s="19" t="str">
        <f aca="false">IF(COUNTIFS('Auction Log'!$B$5:$B$304,A83,'Auction Log'!$D$5:$D$304,"&lt;&gt;",'Auction Log'!$E$5:$E$304,"&gt;0")=0,"",IFERROR(INDEX('Auction Log'!$E$5:$E$304,MATCH(1,('Auction Log'!$B$5:$B$304=A83)*('Auction Log'!$D$5:$D$304&lt;&gt;"")*('Auction Log'!$E$5:$E$304&gt;0),0)),""))</f>
        <v/>
      </c>
      <c r="F83" s="18" t="s">
        <v>196</v>
      </c>
      <c r="G83" s="18" t="s">
        <v>16</v>
      </c>
      <c r="H83" s="18" t="n">
        <v>7</v>
      </c>
      <c r="I83" s="18" t="n">
        <v>75</v>
      </c>
      <c r="J83" s="18" t="n">
        <v>7</v>
      </c>
      <c r="K83" s="36" t="n">
        <v>306</v>
      </c>
      <c r="L83" s="36" t="n">
        <v>288</v>
      </c>
      <c r="M83" s="19" t="n">
        <v>4</v>
      </c>
      <c r="N83" s="19" t="n">
        <v>9</v>
      </c>
      <c r="O83" s="19" t="n">
        <v>2</v>
      </c>
      <c r="P83" s="19" t="n">
        <v>0</v>
      </c>
      <c r="Q83" s="19" t="n">
        <v>0</v>
      </c>
      <c r="R83" s="19" t="n">
        <v>12</v>
      </c>
      <c r="S83" s="19" t="n">
        <v>10</v>
      </c>
      <c r="T83" s="18" t="s">
        <v>97</v>
      </c>
      <c r="U83" s="32"/>
      <c r="V83" s="19" t="str">
        <f aca="false">IF(E83="","",R83-E83)</f>
        <v/>
      </c>
      <c r="W83" s="18" t="s">
        <v>98</v>
      </c>
      <c r="X83" s="4" t="n">
        <f aca="false">IF(AND(D83="Available",R83&gt;=55),ROW(),9999)</f>
        <v>9999</v>
      </c>
      <c r="Y83" s="4" t="n">
        <f aca="false">IF(AND(D83="Available",R83&gt;=40,R83&lt;55),ROW(),9999)</f>
        <v>9999</v>
      </c>
      <c r="Z83" s="4" t="n">
        <f aca="false">IF(AND(D83="Available",R83&gt;=25,R83&lt;40),ROW(),9999)</f>
        <v>9999</v>
      </c>
      <c r="AA83" s="35" t="n">
        <f aca="false">IF(K83="","",IF(L83="",K83,ROUND(AVERAGE(K83,L83),0)))</f>
        <v>297</v>
      </c>
    </row>
    <row r="84" customFormat="false" ht="15" hidden="false" customHeight="false" outlineLevel="0" collapsed="false">
      <c r="A84" s="18" t="s">
        <v>222</v>
      </c>
      <c r="B84" s="19" t="n">
        <f aca="false">R84-N84</f>
        <v>-1</v>
      </c>
      <c r="C84" s="18" t="str">
        <f aca="false">IF(B84&gt;=5,"SMASH BUY",IF(B84&gt;=2,"BUY",IF(B84&gt;=-1,"NEUTRAL",IF(B84&gt;=-4,"AVOID","DO NOT BID"))))</f>
        <v>NEUTRAL</v>
      </c>
      <c r="D84" s="18" t="str">
        <f aca="false">IF(COUNTIFS('Auction Log'!$B$5:$B$304,A84,'Auction Log'!$D$5:$D$304,"&lt;&gt;",'Auction Log'!$E$5:$E$304,"&gt;0")=0,"Available",IFERROR(INDEX('Auction Log'!$D$5:$D$304,MATCH(1,('Auction Log'!$B$5:$B$304=A84)*('Auction Log'!$D$5:$D$304&lt;&gt;"")*('Auction Log'!$E$5:$E$304&gt;0),0)),"SOLD"))</f>
        <v>Available</v>
      </c>
      <c r="E84" s="19" t="str">
        <f aca="false">IF(COUNTIFS('Auction Log'!$B$5:$B$304,A84,'Auction Log'!$D$5:$D$304,"&lt;&gt;",'Auction Log'!$E$5:$E$304,"&gt;0")=0,"",IFERROR(INDEX('Auction Log'!$E$5:$E$304,MATCH(1,('Auction Log'!$B$5:$B$304=A84)*('Auction Log'!$D$5:$D$304&lt;&gt;"")*('Auction Log'!$E$5:$E$304&gt;0),0)),""))</f>
        <v/>
      </c>
      <c r="F84" s="18" t="s">
        <v>196</v>
      </c>
      <c r="G84" s="18" t="s">
        <v>26</v>
      </c>
      <c r="H84" s="18" t="n">
        <v>7</v>
      </c>
      <c r="I84" s="18" t="n">
        <v>77</v>
      </c>
      <c r="J84" s="18" t="n">
        <v>7</v>
      </c>
      <c r="K84" s="36" t="n">
        <v>181</v>
      </c>
      <c r="L84" s="36" t="n">
        <v>177</v>
      </c>
      <c r="M84" s="19" t="n">
        <v>4</v>
      </c>
      <c r="N84" s="19" t="n">
        <v>13</v>
      </c>
      <c r="O84" s="19" t="n">
        <v>-2</v>
      </c>
      <c r="P84" s="19" t="n">
        <v>0</v>
      </c>
      <c r="Q84" s="19" t="n">
        <v>0</v>
      </c>
      <c r="R84" s="19" t="n">
        <v>12</v>
      </c>
      <c r="S84" s="19" t="n">
        <v>10</v>
      </c>
      <c r="T84" s="18" t="s">
        <v>125</v>
      </c>
      <c r="U84" s="32"/>
      <c r="V84" s="19" t="str">
        <f aca="false">IF(E84="","",R84-E84)</f>
        <v/>
      </c>
      <c r="W84" s="18" t="s">
        <v>98</v>
      </c>
      <c r="X84" s="4" t="n">
        <f aca="false">IF(AND(D84="Available",R84&gt;=55),ROW(),9999)</f>
        <v>9999</v>
      </c>
      <c r="Y84" s="4" t="n">
        <f aca="false">IF(AND(D84="Available",R84&gt;=40,R84&lt;55),ROW(),9999)</f>
        <v>9999</v>
      </c>
      <c r="Z84" s="4" t="n">
        <f aca="false">IF(AND(D84="Available",R84&gt;=25,R84&lt;40),ROW(),9999)</f>
        <v>9999</v>
      </c>
      <c r="AA84" s="35" t="n">
        <f aca="false">IF(K84="","",IF(L84="",K84,ROUND(AVERAGE(K84,L84),0)))</f>
        <v>179</v>
      </c>
    </row>
    <row r="85" customFormat="false" ht="15" hidden="false" customHeight="false" outlineLevel="0" collapsed="false">
      <c r="A85" s="18" t="s">
        <v>223</v>
      </c>
      <c r="B85" s="19" t="n">
        <f aca="false">R85-N85</f>
        <v>-1</v>
      </c>
      <c r="C85" s="18" t="str">
        <f aca="false">IF(B85&gt;=5,"SMASH BUY",IF(B85&gt;=2,"BUY",IF(B85&gt;=-1,"NEUTRAL",IF(B85&gt;=-4,"AVOID","DO NOT BID"))))</f>
        <v>NEUTRAL</v>
      </c>
      <c r="D85" s="18" t="str">
        <f aca="false">IF(COUNTIFS('Auction Log'!$B$5:$B$304,A85,'Auction Log'!$D$5:$D$304,"&lt;&gt;",'Auction Log'!$E$5:$E$304,"&gt;0")=0,"Available",IFERROR(INDEX('Auction Log'!$D$5:$D$304,MATCH(1,('Auction Log'!$B$5:$B$304=A85)*('Auction Log'!$D$5:$D$304&lt;&gt;"")*('Auction Log'!$E$5:$E$304&gt;0),0)),"SOLD"))</f>
        <v>Available</v>
      </c>
      <c r="E85" s="19" t="str">
        <f aca="false">IF(COUNTIFS('Auction Log'!$B$5:$B$304,A85,'Auction Log'!$D$5:$D$304,"&lt;&gt;",'Auction Log'!$E$5:$E$304,"&gt;0")=0,"",IFERROR(INDEX('Auction Log'!$E$5:$E$304,MATCH(1,('Auction Log'!$B$5:$B$304=A85)*('Auction Log'!$D$5:$D$304&lt;&gt;"")*('Auction Log'!$E$5:$E$304&gt;0),0)),""))</f>
        <v/>
      </c>
      <c r="F85" s="18" t="s">
        <v>204</v>
      </c>
      <c r="G85" s="18" t="s">
        <v>21</v>
      </c>
      <c r="H85" s="18" t="n">
        <v>9</v>
      </c>
      <c r="I85" s="18" t="n">
        <v>88</v>
      </c>
      <c r="J85" s="18" t="n">
        <v>7</v>
      </c>
      <c r="K85" s="36" t="n">
        <v>180</v>
      </c>
      <c r="L85" s="36" t="n">
        <v>186</v>
      </c>
      <c r="M85" s="19" t="n">
        <v>2</v>
      </c>
      <c r="N85" s="19" t="n">
        <v>13</v>
      </c>
      <c r="O85" s="19" t="n">
        <v>-3</v>
      </c>
      <c r="P85" s="19" t="n">
        <v>1</v>
      </c>
      <c r="Q85" s="19" t="n">
        <v>0</v>
      </c>
      <c r="R85" s="19" t="n">
        <v>12</v>
      </c>
      <c r="S85" s="19" t="n">
        <v>10</v>
      </c>
      <c r="T85" s="18" t="s">
        <v>125</v>
      </c>
      <c r="U85" s="32"/>
      <c r="V85" s="19" t="str">
        <f aca="false">IF(E85="","",R85-E85)</f>
        <v/>
      </c>
      <c r="W85" s="18" t="s">
        <v>98</v>
      </c>
      <c r="X85" s="4" t="n">
        <f aca="false">IF(AND(D85="Available",R85&gt;=55),ROW(),9999)</f>
        <v>9999</v>
      </c>
      <c r="Y85" s="4" t="n">
        <f aca="false">IF(AND(D85="Available",R85&gt;=40,R85&lt;55),ROW(),9999)</f>
        <v>9999</v>
      </c>
      <c r="Z85" s="4" t="n">
        <f aca="false">IF(AND(D85="Available",R85&gt;=25,R85&lt;40),ROW(),9999)</f>
        <v>9999</v>
      </c>
      <c r="AA85" s="35" t="n">
        <f aca="false">IF(K85="","",IF(L85="",K85,ROUND(AVERAGE(K85,L85),0)))</f>
        <v>183</v>
      </c>
    </row>
    <row r="86" customFormat="false" ht="15" hidden="false" customHeight="false" outlineLevel="0" collapsed="false">
      <c r="A86" s="18" t="s">
        <v>224</v>
      </c>
      <c r="B86" s="19" t="n">
        <f aca="false">R86-N86</f>
        <v>2</v>
      </c>
      <c r="C86" s="18" t="str">
        <f aca="false">IF(B86&gt;=5,"SMASH BUY",IF(B86&gt;=2,"BUY",IF(B86&gt;=-1,"NEUTRAL",IF(B86&gt;=-4,"AVOID","DO NOT BID"))))</f>
        <v>BUY</v>
      </c>
      <c r="D86" s="18" t="str">
        <f aca="false">IF(COUNTIFS('Auction Log'!$B$5:$B$304,A86,'Auction Log'!$D$5:$D$304,"&lt;&gt;",'Auction Log'!$E$5:$E$304,"&gt;0")=0,"Available",IFERROR(INDEX('Auction Log'!$D$5:$D$304,MATCH(1,('Auction Log'!$B$5:$B$304=A86)*('Auction Log'!$D$5:$D$304&lt;&gt;"")*('Auction Log'!$E$5:$E$304&gt;0),0)),"SOLD"))</f>
        <v>Available</v>
      </c>
      <c r="E86" s="19" t="str">
        <f aca="false">IF(COUNTIFS('Auction Log'!$B$5:$B$304,A86,'Auction Log'!$D$5:$D$304,"&lt;&gt;",'Auction Log'!$E$5:$E$304,"&gt;0")=0,"",IFERROR(INDEX('Auction Log'!$E$5:$E$304,MATCH(1,('Auction Log'!$B$5:$B$304=A86)*('Auction Log'!$D$5:$D$304&lt;&gt;"")*('Auction Log'!$E$5:$E$304&gt;0),0)),""))</f>
        <v/>
      </c>
      <c r="F86" s="18" t="s">
        <v>111</v>
      </c>
      <c r="G86" s="18" t="s">
        <v>16</v>
      </c>
      <c r="H86" s="18" t="n">
        <v>8</v>
      </c>
      <c r="I86" s="18" t="n">
        <v>91</v>
      </c>
      <c r="J86" s="18" t="n">
        <v>7</v>
      </c>
      <c r="K86" s="36" t="n">
        <v>308</v>
      </c>
      <c r="L86" s="36" t="n">
        <v>292</v>
      </c>
      <c r="M86" s="19" t="n">
        <v>4</v>
      </c>
      <c r="N86" s="19" t="n">
        <v>10</v>
      </c>
      <c r="O86" s="19" t="n">
        <v>0</v>
      </c>
      <c r="P86" s="19" t="n">
        <v>1</v>
      </c>
      <c r="Q86" s="19" t="n">
        <v>0</v>
      </c>
      <c r="R86" s="19" t="n">
        <v>12</v>
      </c>
      <c r="S86" s="19" t="n">
        <v>10</v>
      </c>
      <c r="T86" s="18" t="s">
        <v>125</v>
      </c>
      <c r="U86" s="32"/>
      <c r="V86" s="19" t="str">
        <f aca="false">IF(E86="","",R86-E86)</f>
        <v/>
      </c>
      <c r="W86" s="18" t="s">
        <v>98</v>
      </c>
      <c r="X86" s="4" t="n">
        <f aca="false">IF(AND(D86="Available",R86&gt;=55),ROW(),9999)</f>
        <v>9999</v>
      </c>
      <c r="Y86" s="4" t="n">
        <f aca="false">IF(AND(D86="Available",R86&gt;=40,R86&lt;55),ROW(),9999)</f>
        <v>9999</v>
      </c>
      <c r="Z86" s="4" t="n">
        <f aca="false">IF(AND(D86="Available",R86&gt;=25,R86&lt;40),ROW(),9999)</f>
        <v>9999</v>
      </c>
      <c r="AA86" s="35" t="n">
        <f aca="false">IF(K86="","",IF(L86="",K86,ROUND(AVERAGE(K86,L86),0)))</f>
        <v>300</v>
      </c>
    </row>
    <row r="87" customFormat="false" ht="15" hidden="false" customHeight="false" outlineLevel="0" collapsed="false">
      <c r="A87" s="18" t="s">
        <v>225</v>
      </c>
      <c r="B87" s="19" t="n">
        <f aca="false">R87-N87</f>
        <v>2</v>
      </c>
      <c r="C87" s="18" t="str">
        <f aca="false">IF(B87&gt;=5,"SMASH BUY",IF(B87&gt;=2,"BUY",IF(B87&gt;=-1,"NEUTRAL",IF(B87&gt;=-4,"AVOID","DO NOT BID"))))</f>
        <v>BUY</v>
      </c>
      <c r="D87" s="18" t="str">
        <f aca="false">IF(COUNTIFS('Auction Log'!$B$5:$B$304,A87,'Auction Log'!$D$5:$D$304,"&lt;&gt;",'Auction Log'!$E$5:$E$304,"&gt;0")=0,"Available",IFERROR(INDEX('Auction Log'!$D$5:$D$304,MATCH(1,('Auction Log'!$B$5:$B$304=A87)*('Auction Log'!$D$5:$D$304&lt;&gt;"")*('Auction Log'!$E$5:$E$304&gt;0),0)),"SOLD"))</f>
        <v>Available</v>
      </c>
      <c r="E87" s="19" t="str">
        <f aca="false">IF(COUNTIFS('Auction Log'!$B$5:$B$304,A87,'Auction Log'!$D$5:$D$304,"&lt;&gt;",'Auction Log'!$E$5:$E$304,"&gt;0")=0,"",IFERROR(INDEX('Auction Log'!$E$5:$E$304,MATCH(1,('Auction Log'!$B$5:$B$304=A87)*('Auction Log'!$D$5:$D$304&lt;&gt;"")*('Auction Log'!$E$5:$E$304&gt;0),0)),""))</f>
        <v/>
      </c>
      <c r="F87" s="18" t="s">
        <v>180</v>
      </c>
      <c r="G87" s="18" t="s">
        <v>16</v>
      </c>
      <c r="H87" s="18" t="n">
        <v>10</v>
      </c>
      <c r="I87" s="18" t="n">
        <v>65</v>
      </c>
      <c r="J87" s="18" t="n">
        <v>6</v>
      </c>
      <c r="K87" s="36" t="n">
        <v>301</v>
      </c>
      <c r="L87" s="36" t="n">
        <v>281</v>
      </c>
      <c r="M87" s="19" t="n">
        <v>3</v>
      </c>
      <c r="N87" s="19" t="n">
        <v>8</v>
      </c>
      <c r="O87" s="19" t="n">
        <v>3</v>
      </c>
      <c r="P87" s="19" t="n">
        <v>-1</v>
      </c>
      <c r="Q87" s="19" t="n">
        <v>0</v>
      </c>
      <c r="R87" s="19" t="n">
        <v>10</v>
      </c>
      <c r="S87" s="19" t="n">
        <v>8</v>
      </c>
      <c r="T87" s="18" t="s">
        <v>97</v>
      </c>
      <c r="U87" s="32"/>
      <c r="V87" s="19" t="str">
        <f aca="false">IF(E87="","",R87-E87)</f>
        <v/>
      </c>
      <c r="W87" s="18" t="s">
        <v>98</v>
      </c>
      <c r="X87" s="4" t="n">
        <f aca="false">IF(AND(D87="Available",R87&gt;=55),ROW(),9999)</f>
        <v>9999</v>
      </c>
      <c r="Y87" s="4" t="n">
        <f aca="false">IF(AND(D87="Available",R87&gt;=40,R87&lt;55),ROW(),9999)</f>
        <v>9999</v>
      </c>
      <c r="Z87" s="4" t="n">
        <f aca="false">IF(AND(D87="Available",R87&gt;=25,R87&lt;40),ROW(),9999)</f>
        <v>9999</v>
      </c>
      <c r="AA87" s="35" t="n">
        <f aca="false">IF(K87="","",IF(L87="",K87,ROUND(AVERAGE(K87,L87),0)))</f>
        <v>291</v>
      </c>
    </row>
    <row r="88" customFormat="false" ht="15" hidden="false" customHeight="false" outlineLevel="0" collapsed="false">
      <c r="A88" s="18" t="s">
        <v>226</v>
      </c>
      <c r="B88" s="19" t="n">
        <f aca="false">R88-N88</f>
        <v>3</v>
      </c>
      <c r="C88" s="18" t="str">
        <f aca="false">IF(B88&gt;=5,"SMASH BUY",IF(B88&gt;=2,"BUY",IF(B88&gt;=-1,"NEUTRAL",IF(B88&gt;=-4,"AVOID","DO NOT BID"))))</f>
        <v>BUY</v>
      </c>
      <c r="D88" s="18" t="str">
        <f aca="false">IF(COUNTIFS('Auction Log'!$B$5:$B$304,A88,'Auction Log'!$D$5:$D$304,"&lt;&gt;",'Auction Log'!$E$5:$E$304,"&gt;0")=0,"Available",IFERROR(INDEX('Auction Log'!$D$5:$D$304,MATCH(1,('Auction Log'!$B$5:$B$304=A88)*('Auction Log'!$D$5:$D$304&lt;&gt;"")*('Auction Log'!$E$5:$E$304&gt;0),0)),"SOLD"))</f>
        <v>Available</v>
      </c>
      <c r="E88" s="19" t="str">
        <f aca="false">IF(COUNTIFS('Auction Log'!$B$5:$B$304,A88,'Auction Log'!$D$5:$D$304,"&lt;&gt;",'Auction Log'!$E$5:$E$304,"&gt;0")=0,"",IFERROR(INDEX('Auction Log'!$E$5:$E$304,MATCH(1,('Auction Log'!$B$5:$B$304=A88)*('Auction Log'!$D$5:$D$304&lt;&gt;"")*('Auction Log'!$E$5:$E$304&gt;0),0)),""))</f>
        <v/>
      </c>
      <c r="F88" s="18" t="s">
        <v>144</v>
      </c>
      <c r="G88" s="18" t="s">
        <v>16</v>
      </c>
      <c r="H88" s="18" t="n">
        <v>7</v>
      </c>
      <c r="I88" s="18" t="n">
        <v>69</v>
      </c>
      <c r="J88" s="18" t="n">
        <v>6</v>
      </c>
      <c r="K88" s="36" t="n">
        <v>300</v>
      </c>
      <c r="L88" s="36" t="n">
        <v>283</v>
      </c>
      <c r="M88" s="19" t="n">
        <v>3</v>
      </c>
      <c r="N88" s="19" t="n">
        <v>7</v>
      </c>
      <c r="O88" s="19" t="n">
        <v>3</v>
      </c>
      <c r="P88" s="19" t="n">
        <v>0</v>
      </c>
      <c r="Q88" s="19" t="n">
        <v>0</v>
      </c>
      <c r="R88" s="19" t="n">
        <v>10</v>
      </c>
      <c r="S88" s="19" t="n">
        <v>8</v>
      </c>
      <c r="T88" s="18" t="s">
        <v>97</v>
      </c>
      <c r="U88" s="32"/>
      <c r="V88" s="19" t="str">
        <f aca="false">IF(E88="","",R88-E88)</f>
        <v/>
      </c>
      <c r="W88" s="18" t="s">
        <v>98</v>
      </c>
      <c r="X88" s="4" t="n">
        <f aca="false">IF(AND(D88="Available",R88&gt;=55),ROW(),9999)</f>
        <v>9999</v>
      </c>
      <c r="Y88" s="4" t="n">
        <f aca="false">IF(AND(D88="Available",R88&gt;=40,R88&lt;55),ROW(),9999)</f>
        <v>9999</v>
      </c>
      <c r="Z88" s="4" t="n">
        <f aca="false">IF(AND(D88="Available",R88&gt;=25,R88&lt;40),ROW(),9999)</f>
        <v>9999</v>
      </c>
      <c r="AA88" s="35" t="n">
        <f aca="false">IF(K88="","",IF(L88="",K88,ROUND(AVERAGE(K88,L88),0)))</f>
        <v>292</v>
      </c>
    </row>
    <row r="89" customFormat="false" ht="15" hidden="false" customHeight="false" outlineLevel="0" collapsed="false">
      <c r="A89" s="18" t="s">
        <v>227</v>
      </c>
      <c r="B89" s="19" t="n">
        <f aca="false">R89-N89</f>
        <v>-2</v>
      </c>
      <c r="C89" s="18" t="str">
        <f aca="false">IF(B89&gt;=5,"SMASH BUY",IF(B89&gt;=2,"BUY",IF(B89&gt;=-1,"NEUTRAL",IF(B89&gt;=-4,"AVOID","DO NOT BID"))))</f>
        <v>AVOID</v>
      </c>
      <c r="D89" s="18" t="str">
        <f aca="false">IF(COUNTIFS('Auction Log'!$B$5:$B$304,A89,'Auction Log'!$D$5:$D$304,"&lt;&gt;",'Auction Log'!$E$5:$E$304,"&gt;0")=0,"Available",IFERROR(INDEX('Auction Log'!$D$5:$D$304,MATCH(1,('Auction Log'!$B$5:$B$304=A89)*('Auction Log'!$D$5:$D$304&lt;&gt;"")*('Auction Log'!$E$5:$E$304&gt;0),0)),"SOLD"))</f>
        <v>Available</v>
      </c>
      <c r="E89" s="19" t="str">
        <f aca="false">IF(COUNTIFS('Auction Log'!$B$5:$B$304,A89,'Auction Log'!$D$5:$D$304,"&lt;&gt;",'Auction Log'!$E$5:$E$304,"&gt;0")=0,"",IFERROR(INDEX('Auction Log'!$E$5:$E$304,MATCH(1,('Auction Log'!$B$5:$B$304=A89)*('Auction Log'!$D$5:$D$304&lt;&gt;"")*('Auction Log'!$E$5:$E$304&gt;0),0)),""))</f>
        <v/>
      </c>
      <c r="F89" s="18" t="s">
        <v>171</v>
      </c>
      <c r="G89" s="18" t="s">
        <v>21</v>
      </c>
      <c r="H89" s="18" t="n">
        <v>10</v>
      </c>
      <c r="I89" s="18" t="n">
        <v>98</v>
      </c>
      <c r="J89" s="18" t="n">
        <v>8</v>
      </c>
      <c r="K89" s="36" t="n">
        <v>176</v>
      </c>
      <c r="L89" s="36" t="n">
        <v>175</v>
      </c>
      <c r="M89" s="19" t="n">
        <v>2</v>
      </c>
      <c r="N89" s="19" t="n">
        <v>12</v>
      </c>
      <c r="O89" s="19" t="n">
        <v>-3</v>
      </c>
      <c r="P89" s="19" t="n">
        <v>1</v>
      </c>
      <c r="Q89" s="19" t="n">
        <v>0</v>
      </c>
      <c r="R89" s="19" t="n">
        <v>10</v>
      </c>
      <c r="S89" s="19" t="n">
        <v>8</v>
      </c>
      <c r="T89" s="18" t="s">
        <v>125</v>
      </c>
      <c r="U89" s="32"/>
      <c r="V89" s="19" t="str">
        <f aca="false">IF(E89="","",R89-E89)</f>
        <v/>
      </c>
      <c r="W89" s="18" t="s">
        <v>98</v>
      </c>
      <c r="X89" s="4" t="n">
        <f aca="false">IF(AND(D89="Available",R89&gt;=55),ROW(),9999)</f>
        <v>9999</v>
      </c>
      <c r="Y89" s="4" t="n">
        <f aca="false">IF(AND(D89="Available",R89&gt;=40,R89&lt;55),ROW(),9999)</f>
        <v>9999</v>
      </c>
      <c r="Z89" s="4" t="n">
        <f aca="false">IF(AND(D89="Available",R89&gt;=25,R89&lt;40),ROW(),9999)</f>
        <v>9999</v>
      </c>
      <c r="AA89" s="35" t="n">
        <f aca="false">IF(K89="","",IF(L89="",K89,ROUND(AVERAGE(K89,L89),0)))</f>
        <v>176</v>
      </c>
    </row>
    <row r="90" customFormat="false" ht="15" hidden="false" customHeight="false" outlineLevel="0" collapsed="false">
      <c r="A90" s="18" t="s">
        <v>63</v>
      </c>
      <c r="B90" s="19" t="n">
        <f aca="false">R90-N90</f>
        <v>4</v>
      </c>
      <c r="C90" s="18" t="str">
        <f aca="false">IF(B90&gt;=5,"SMASH BUY",IF(B90&gt;=2,"BUY",IF(B90&gt;=-1,"NEUTRAL",IF(B90&gt;=-4,"AVOID","DO NOT BID"))))</f>
        <v>BUY</v>
      </c>
      <c r="D90" s="18" t="str">
        <f aca="false">IF(COUNTIFS('Auction Log'!$B$5:$B$304,A90,'Auction Log'!$D$5:$D$304,"&lt;&gt;",'Auction Log'!$E$5:$E$304,"&gt;0")=0,"Available",IFERROR(INDEX('Auction Log'!$D$5:$D$304,MATCH(1,('Auction Log'!$B$5:$B$304=A90)*('Auction Log'!$D$5:$D$304&lt;&gt;"")*('Auction Log'!$E$5:$E$304&gt;0),0)),"SOLD"))</f>
        <v>Available</v>
      </c>
      <c r="E90" s="19" t="str">
        <f aca="false">IF(COUNTIFS('Auction Log'!$B$5:$B$304,A90,'Auction Log'!$D$5:$D$304,"&lt;&gt;",'Auction Log'!$E$5:$E$304,"&gt;0")=0,"",IFERROR(INDEX('Auction Log'!$E$5:$E$304,MATCH(1,('Auction Log'!$B$5:$B$304=A90)*('Auction Log'!$D$5:$D$304&lt;&gt;"")*('Auction Log'!$E$5:$E$304&gt;0),0)),""))</f>
        <v/>
      </c>
      <c r="F90" s="18" t="s">
        <v>106</v>
      </c>
      <c r="G90" s="18" t="s">
        <v>16</v>
      </c>
      <c r="H90" s="18" t="n">
        <v>11</v>
      </c>
      <c r="I90" s="18" t="n">
        <v>104</v>
      </c>
      <c r="J90" s="18" t="n">
        <v>8</v>
      </c>
      <c r="K90" s="36" t="n">
        <v>294</v>
      </c>
      <c r="L90" s="36" t="n">
        <v>293</v>
      </c>
      <c r="M90" s="19" t="n">
        <v>4</v>
      </c>
      <c r="N90" s="19" t="n">
        <v>6</v>
      </c>
      <c r="O90" s="19" t="n">
        <v>2</v>
      </c>
      <c r="P90" s="19" t="n">
        <v>2</v>
      </c>
      <c r="Q90" s="19" t="n">
        <v>0</v>
      </c>
      <c r="R90" s="19" t="n">
        <v>10</v>
      </c>
      <c r="S90" s="19" t="n">
        <v>8</v>
      </c>
      <c r="T90" s="18" t="s">
        <v>97</v>
      </c>
      <c r="U90" s="32"/>
      <c r="V90" s="19" t="str">
        <f aca="false">IF(E90="","",R90-E90)</f>
        <v/>
      </c>
      <c r="W90" s="18" t="s">
        <v>98</v>
      </c>
      <c r="X90" s="4" t="n">
        <f aca="false">IF(AND(D90="Available",R90&gt;=55),ROW(),9999)</f>
        <v>9999</v>
      </c>
      <c r="Y90" s="4" t="n">
        <f aca="false">IF(AND(D90="Available",R90&gt;=40,R90&lt;55),ROW(),9999)</f>
        <v>9999</v>
      </c>
      <c r="Z90" s="4" t="n">
        <f aca="false">IF(AND(D90="Available",R90&gt;=25,R90&lt;40),ROW(),9999)</f>
        <v>9999</v>
      </c>
      <c r="AA90" s="35" t="n">
        <f aca="false">IF(K90="","",IF(L90="",K90,ROUND(AVERAGE(K90,L90),0)))</f>
        <v>294</v>
      </c>
    </row>
    <row r="91" customFormat="false" ht="15" hidden="false" customHeight="false" outlineLevel="0" collapsed="false">
      <c r="A91" s="18" t="s">
        <v>228</v>
      </c>
      <c r="B91" s="19" t="n">
        <f aca="false">R91-N91</f>
        <v>-2</v>
      </c>
      <c r="C91" s="18" t="str">
        <f aca="false">IF(B91&gt;=5,"SMASH BUY",IF(B91&gt;=2,"BUY",IF(B91&gt;=-1,"NEUTRAL",IF(B91&gt;=-4,"AVOID","DO NOT BID"))))</f>
        <v>AVOID</v>
      </c>
      <c r="D91" s="18" t="str">
        <f aca="false">IF(COUNTIFS('Auction Log'!$B$5:$B$304,A91,'Auction Log'!$D$5:$D$304,"&lt;&gt;",'Auction Log'!$E$5:$E$304,"&gt;0")=0,"Available",IFERROR(INDEX('Auction Log'!$D$5:$D$304,MATCH(1,('Auction Log'!$B$5:$B$304=A91)*('Auction Log'!$D$5:$D$304&lt;&gt;"")*('Auction Log'!$E$5:$E$304&gt;0),0)),"SOLD"))</f>
        <v>Available</v>
      </c>
      <c r="E91" s="19" t="str">
        <f aca="false">IF(COUNTIFS('Auction Log'!$B$5:$B$304,A91,'Auction Log'!$D$5:$D$304,"&lt;&gt;",'Auction Log'!$E$5:$E$304,"&gt;0")=0,"",IFERROR(INDEX('Auction Log'!$E$5:$E$304,MATCH(1,('Auction Log'!$B$5:$B$304=A91)*('Auction Log'!$D$5:$D$304&lt;&gt;"")*('Auction Log'!$E$5:$E$304&gt;0),0)),""))</f>
        <v/>
      </c>
      <c r="F91" s="18" t="s">
        <v>173</v>
      </c>
      <c r="G91" s="18" t="s">
        <v>26</v>
      </c>
      <c r="H91" s="18" t="n">
        <v>10</v>
      </c>
      <c r="I91" s="18" t="n">
        <v>73</v>
      </c>
      <c r="J91" s="18" t="n">
        <v>7</v>
      </c>
      <c r="K91" s="36" t="n">
        <v>176</v>
      </c>
      <c r="L91" s="36" t="n">
        <v>157</v>
      </c>
      <c r="M91" s="19" t="n">
        <v>1</v>
      </c>
      <c r="N91" s="19" t="n">
        <v>11</v>
      </c>
      <c r="O91" s="19" t="n">
        <v>-1</v>
      </c>
      <c r="P91" s="19" t="n">
        <v>-1</v>
      </c>
      <c r="Q91" s="19" t="n">
        <v>0</v>
      </c>
      <c r="R91" s="19" t="n">
        <v>9</v>
      </c>
      <c r="S91" s="19" t="n">
        <v>8</v>
      </c>
      <c r="T91" s="18" t="s">
        <v>125</v>
      </c>
      <c r="U91" s="32"/>
      <c r="V91" s="19" t="str">
        <f aca="false">IF(E91="","",R91-E91)</f>
        <v/>
      </c>
      <c r="W91" s="18" t="s">
        <v>98</v>
      </c>
      <c r="X91" s="4" t="n">
        <f aca="false">IF(AND(D91="Available",R91&gt;=55),ROW(),9999)</f>
        <v>9999</v>
      </c>
      <c r="Y91" s="4" t="n">
        <f aca="false">IF(AND(D91="Available",R91&gt;=40,R91&lt;55),ROW(),9999)</f>
        <v>9999</v>
      </c>
      <c r="Z91" s="4" t="n">
        <f aca="false">IF(AND(D91="Available",R91&gt;=25,R91&lt;40),ROW(),9999)</f>
        <v>9999</v>
      </c>
      <c r="AA91" s="35" t="n">
        <f aca="false">IF(K91="","",IF(L91="",K91,ROUND(AVERAGE(K91,L91),0)))</f>
        <v>167</v>
      </c>
    </row>
    <row r="92" customFormat="false" ht="15" hidden="false" customHeight="false" outlineLevel="0" collapsed="false">
      <c r="A92" s="18" t="s">
        <v>229</v>
      </c>
      <c r="B92" s="19" t="n">
        <f aca="false">R92-N92</f>
        <v>-2</v>
      </c>
      <c r="C92" s="18" t="str">
        <f aca="false">IF(B92&gt;=5,"SMASH BUY",IF(B92&gt;=2,"BUY",IF(B92&gt;=-1,"NEUTRAL",IF(B92&gt;=-4,"AVOID","DO NOT BID"))))</f>
        <v>AVOID</v>
      </c>
      <c r="D92" s="18" t="str">
        <f aca="false">IF(COUNTIFS('Auction Log'!$B$5:$B$304,A92,'Auction Log'!$D$5:$D$304,"&lt;&gt;",'Auction Log'!$E$5:$E$304,"&gt;0")=0,"Available",IFERROR(INDEX('Auction Log'!$D$5:$D$304,MATCH(1,('Auction Log'!$B$5:$B$304=A92)*('Auction Log'!$D$5:$D$304&lt;&gt;"")*('Auction Log'!$E$5:$E$304&gt;0),0)),"SOLD"))</f>
        <v>Available</v>
      </c>
      <c r="E92" s="19" t="str">
        <f aca="false">IF(COUNTIFS('Auction Log'!$B$5:$B$304,A92,'Auction Log'!$D$5:$D$304,"&lt;&gt;",'Auction Log'!$E$5:$E$304,"&gt;0")=0,"",IFERROR(INDEX('Auction Log'!$E$5:$E$304,MATCH(1,('Auction Log'!$B$5:$B$304=A92)*('Auction Log'!$D$5:$D$304&lt;&gt;"")*('Auction Log'!$E$5:$E$304&gt;0),0)),""))</f>
        <v/>
      </c>
      <c r="F92" s="18" t="s">
        <v>96</v>
      </c>
      <c r="G92" s="18" t="s">
        <v>30</v>
      </c>
      <c r="H92" s="18" t="n">
        <v>6</v>
      </c>
      <c r="I92" s="18" t="n">
        <v>84</v>
      </c>
      <c r="J92" s="18" t="n">
        <v>7</v>
      </c>
      <c r="K92" s="36" t="n">
        <v>180</v>
      </c>
      <c r="L92" s="36" t="n">
        <v>189</v>
      </c>
      <c r="M92" s="19" t="n">
        <v>6</v>
      </c>
      <c r="N92" s="19" t="n">
        <v>11</v>
      </c>
      <c r="O92" s="19" t="n">
        <v>0</v>
      </c>
      <c r="P92" s="19" t="n">
        <v>0</v>
      </c>
      <c r="Q92" s="19" t="n">
        <v>2</v>
      </c>
      <c r="R92" s="19" t="n">
        <v>9</v>
      </c>
      <c r="S92" s="19" t="n">
        <v>8</v>
      </c>
      <c r="T92" s="18" t="s">
        <v>107</v>
      </c>
      <c r="U92" s="32" t="s">
        <v>230</v>
      </c>
      <c r="V92" s="19" t="str">
        <f aca="false">IF(E92="","",R92-E92)</f>
        <v/>
      </c>
      <c r="W92" s="18" t="s">
        <v>98</v>
      </c>
      <c r="X92" s="4" t="n">
        <f aca="false">IF(AND(D92="Available",R92&gt;=55),ROW(),9999)</f>
        <v>9999</v>
      </c>
      <c r="Y92" s="4" t="n">
        <f aca="false">IF(AND(D92="Available",R92&gt;=40,R92&lt;55),ROW(),9999)</f>
        <v>9999</v>
      </c>
      <c r="Z92" s="4" t="n">
        <f aca="false">IF(AND(D92="Available",R92&gt;=25,R92&lt;40),ROW(),9999)</f>
        <v>9999</v>
      </c>
      <c r="AA92" s="35" t="n">
        <f aca="false">IF(K92="","",IF(L92="",K92,ROUND(AVERAGE(K92,L92),0)))</f>
        <v>185</v>
      </c>
    </row>
    <row r="93" customFormat="false" ht="15" hidden="false" customHeight="false" outlineLevel="0" collapsed="false">
      <c r="A93" s="18" t="s">
        <v>66</v>
      </c>
      <c r="B93" s="19" t="n">
        <f aca="false">R93-N93</f>
        <v>-3</v>
      </c>
      <c r="C93" s="18" t="str">
        <f aca="false">IF(B93&gt;=5,"SMASH BUY",IF(B93&gt;=2,"BUY",IF(B93&gt;=-1,"NEUTRAL",IF(B93&gt;=-4,"AVOID","DO NOT BID"))))</f>
        <v>AVOID</v>
      </c>
      <c r="D93" s="18" t="str">
        <f aca="false">IF(COUNTIFS('Auction Log'!$B$5:$B$304,A93,'Auction Log'!$D$5:$D$304,"&lt;&gt;",'Auction Log'!$E$5:$E$304,"&gt;0")=0,"Available",IFERROR(INDEX('Auction Log'!$D$5:$D$304,MATCH(1,('Auction Log'!$B$5:$B$304=A93)*('Auction Log'!$D$5:$D$304&lt;&gt;"")*('Auction Log'!$E$5:$E$304&gt;0),0)),"SOLD"))</f>
        <v>Available</v>
      </c>
      <c r="E93" s="19" t="str">
        <f aca="false">IF(COUNTIFS('Auction Log'!$B$5:$B$304,A93,'Auction Log'!$D$5:$D$304,"&lt;&gt;",'Auction Log'!$E$5:$E$304,"&gt;0")=0,"",IFERROR(INDEX('Auction Log'!$E$5:$E$304,MATCH(1,('Auction Log'!$B$5:$B$304=A93)*('Auction Log'!$D$5:$D$304&lt;&gt;"")*('Auction Log'!$E$5:$E$304&gt;0),0)),""))</f>
        <v/>
      </c>
      <c r="F93" s="18" t="s">
        <v>202</v>
      </c>
      <c r="G93" s="18" t="s">
        <v>26</v>
      </c>
      <c r="H93" s="18" t="n">
        <v>9</v>
      </c>
      <c r="I93" s="18" t="n">
        <v>85</v>
      </c>
      <c r="J93" s="18" t="n">
        <v>7</v>
      </c>
      <c r="K93" s="36" t="n">
        <v>179</v>
      </c>
      <c r="L93" s="36" t="n">
        <v>175</v>
      </c>
      <c r="M93" s="19" t="n">
        <v>3</v>
      </c>
      <c r="N93" s="19" t="n">
        <v>12</v>
      </c>
      <c r="O93" s="19" t="n">
        <v>-3</v>
      </c>
      <c r="P93" s="19" t="n">
        <v>0</v>
      </c>
      <c r="Q93" s="19" t="n">
        <v>0</v>
      </c>
      <c r="R93" s="19" t="n">
        <v>9</v>
      </c>
      <c r="S93" s="19" t="n">
        <v>8</v>
      </c>
      <c r="T93" s="18" t="s">
        <v>97</v>
      </c>
      <c r="U93" s="32"/>
      <c r="V93" s="19" t="str">
        <f aca="false">IF(E93="","",R93-E93)</f>
        <v/>
      </c>
      <c r="W93" s="18" t="s">
        <v>98</v>
      </c>
      <c r="X93" s="4" t="n">
        <f aca="false">IF(AND(D93="Available",R93&gt;=55),ROW(),9999)</f>
        <v>9999</v>
      </c>
      <c r="Y93" s="4" t="n">
        <f aca="false">IF(AND(D93="Available",R93&gt;=40,R93&lt;55),ROW(),9999)</f>
        <v>9999</v>
      </c>
      <c r="Z93" s="4" t="n">
        <f aca="false">IF(AND(D93="Available",R93&gt;=25,R93&lt;40),ROW(),9999)</f>
        <v>9999</v>
      </c>
      <c r="AA93" s="35" t="n">
        <f aca="false">IF(K93="","",IF(L93="",K93,ROUND(AVERAGE(K93,L93),0)))</f>
        <v>177</v>
      </c>
    </row>
    <row r="94" customFormat="false" ht="15" hidden="false" customHeight="false" outlineLevel="0" collapsed="false">
      <c r="A94" s="18" t="s">
        <v>69</v>
      </c>
      <c r="B94" s="19" t="n">
        <f aca="false">R94-N94</f>
        <v>-3</v>
      </c>
      <c r="C94" s="18" t="str">
        <f aca="false">IF(B94&gt;=5,"SMASH BUY",IF(B94&gt;=2,"BUY",IF(B94&gt;=-1,"NEUTRAL",IF(B94&gt;=-4,"AVOID","DO NOT BID"))))</f>
        <v>AVOID</v>
      </c>
      <c r="D94" s="18" t="str">
        <f aca="false">IF(COUNTIFS('Auction Log'!$B$5:$B$304,A94,'Auction Log'!$D$5:$D$304,"&lt;&gt;",'Auction Log'!$E$5:$E$304,"&gt;0")=0,"Available",IFERROR(INDEX('Auction Log'!$D$5:$D$304,MATCH(1,('Auction Log'!$B$5:$B$304=A94)*('Auction Log'!$D$5:$D$304&lt;&gt;"")*('Auction Log'!$E$5:$E$304&gt;0),0)),"SOLD"))</f>
        <v>Available</v>
      </c>
      <c r="E94" s="19" t="str">
        <f aca="false">IF(COUNTIFS('Auction Log'!$B$5:$B$304,A94,'Auction Log'!$D$5:$D$304,"&lt;&gt;",'Auction Log'!$E$5:$E$304,"&gt;0")=0,"",IFERROR(INDEX('Auction Log'!$E$5:$E$304,MATCH(1,('Auction Log'!$B$5:$B$304=A94)*('Auction Log'!$D$5:$D$304&lt;&gt;"")*('Auction Log'!$E$5:$E$304&gt;0),0)),""))</f>
        <v/>
      </c>
      <c r="F94" s="18" t="s">
        <v>136</v>
      </c>
      <c r="G94" s="18" t="s">
        <v>26</v>
      </c>
      <c r="H94" s="18" t="n">
        <v>14</v>
      </c>
      <c r="I94" s="18" t="n">
        <v>87</v>
      </c>
      <c r="J94" s="18" t="n">
        <v>7</v>
      </c>
      <c r="K94" s="36" t="n">
        <v>177</v>
      </c>
      <c r="L94" s="36" t="n">
        <v>177</v>
      </c>
      <c r="M94" s="19" t="n">
        <v>4</v>
      </c>
      <c r="N94" s="19" t="n">
        <v>12</v>
      </c>
      <c r="O94" s="19" t="n">
        <v>-3</v>
      </c>
      <c r="P94" s="19" t="n">
        <v>0</v>
      </c>
      <c r="Q94" s="19" t="n">
        <v>0</v>
      </c>
      <c r="R94" s="19" t="n">
        <v>9</v>
      </c>
      <c r="S94" s="19" t="n">
        <v>8</v>
      </c>
      <c r="T94" s="18" t="s">
        <v>97</v>
      </c>
      <c r="U94" s="32"/>
      <c r="V94" s="19" t="str">
        <f aca="false">IF(E94="","",R94-E94)</f>
        <v/>
      </c>
      <c r="W94" s="18" t="s">
        <v>98</v>
      </c>
      <c r="X94" s="4" t="n">
        <f aca="false">IF(AND(D94="Available",R94&gt;=55),ROW(),9999)</f>
        <v>9999</v>
      </c>
      <c r="Y94" s="4" t="n">
        <f aca="false">IF(AND(D94="Available",R94&gt;=40,R94&lt;55),ROW(),9999)</f>
        <v>9999</v>
      </c>
      <c r="Z94" s="4" t="n">
        <f aca="false">IF(AND(D94="Available",R94&gt;=25,R94&lt;40),ROW(),9999)</f>
        <v>9999</v>
      </c>
      <c r="AA94" s="35" t="n">
        <f aca="false">IF(K94="","",IF(L94="",K94,ROUND(AVERAGE(K94,L94),0)))</f>
        <v>177</v>
      </c>
    </row>
    <row r="95" customFormat="false" ht="15" hidden="false" customHeight="false" outlineLevel="0" collapsed="false">
      <c r="A95" s="18" t="s">
        <v>231</v>
      </c>
      <c r="B95" s="19" t="n">
        <f aca="false">R95-N95</f>
        <v>-1</v>
      </c>
      <c r="C95" s="18" t="str">
        <f aca="false">IF(B95&gt;=5,"SMASH BUY",IF(B95&gt;=2,"BUY",IF(B95&gt;=-1,"NEUTRAL",IF(B95&gt;=-4,"AVOID","DO NOT BID"))))</f>
        <v>NEUTRAL</v>
      </c>
      <c r="D95" s="18" t="str">
        <f aca="false">IF(COUNTIFS('Auction Log'!$B$5:$B$304,A95,'Auction Log'!$D$5:$D$304,"&lt;&gt;",'Auction Log'!$E$5:$E$304,"&gt;0")=0,"Available",IFERROR(INDEX('Auction Log'!$D$5:$D$304,MATCH(1,('Auction Log'!$B$5:$B$304=A95)*('Auction Log'!$D$5:$D$304&lt;&gt;"")*('Auction Log'!$E$5:$E$304&gt;0),0)),"SOLD"))</f>
        <v>Available</v>
      </c>
      <c r="E95" s="19" t="str">
        <f aca="false">IF(COUNTIFS('Auction Log'!$B$5:$B$304,A95,'Auction Log'!$D$5:$D$304,"&lt;&gt;",'Auction Log'!$E$5:$E$304,"&gt;0")=0,"",IFERROR(INDEX('Auction Log'!$E$5:$E$304,MATCH(1,('Auction Log'!$B$5:$B$304=A95)*('Auction Log'!$D$5:$D$304&lt;&gt;"")*('Auction Log'!$E$5:$E$304&gt;0),0)),""))</f>
        <v/>
      </c>
      <c r="F95" s="18" t="s">
        <v>156</v>
      </c>
      <c r="G95" s="18" t="s">
        <v>21</v>
      </c>
      <c r="H95" s="18" t="n">
        <v>5</v>
      </c>
      <c r="I95" s="18" t="n">
        <v>89</v>
      </c>
      <c r="J95" s="18" t="n">
        <v>7</v>
      </c>
      <c r="K95" s="36" t="n">
        <v>164</v>
      </c>
      <c r="L95" s="36" t="n">
        <v>171</v>
      </c>
      <c r="M95" s="19" t="n">
        <v>2</v>
      </c>
      <c r="N95" s="19" t="n">
        <v>10</v>
      </c>
      <c r="O95" s="19" t="n">
        <v>-1</v>
      </c>
      <c r="P95" s="19" t="n">
        <v>0</v>
      </c>
      <c r="Q95" s="19" t="n">
        <v>0</v>
      </c>
      <c r="R95" s="19" t="n">
        <v>9</v>
      </c>
      <c r="S95" s="19" t="n">
        <v>8</v>
      </c>
      <c r="T95" s="18" t="s">
        <v>125</v>
      </c>
      <c r="U95" s="32"/>
      <c r="V95" s="19" t="str">
        <f aca="false">IF(E95="","",R95-E95)</f>
        <v/>
      </c>
      <c r="W95" s="18" t="s">
        <v>98</v>
      </c>
      <c r="X95" s="4" t="n">
        <f aca="false">IF(AND(D95="Available",R95&gt;=55),ROW(),9999)</f>
        <v>9999</v>
      </c>
      <c r="Y95" s="4" t="n">
        <f aca="false">IF(AND(D95="Available",R95&gt;=40,R95&lt;55),ROW(),9999)</f>
        <v>9999</v>
      </c>
      <c r="Z95" s="4" t="n">
        <f aca="false">IF(AND(D95="Available",R95&gt;=25,R95&lt;40),ROW(),9999)</f>
        <v>9999</v>
      </c>
      <c r="AA95" s="35" t="n">
        <f aca="false">IF(K95="","",IF(L95="",K95,ROUND(AVERAGE(K95,L95),0)))</f>
        <v>168</v>
      </c>
    </row>
    <row r="96" customFormat="false" ht="15" hidden="false" customHeight="false" outlineLevel="0" collapsed="false">
      <c r="A96" s="18" t="s">
        <v>232</v>
      </c>
      <c r="B96" s="19" t="n">
        <f aca="false">R96-N96</f>
        <v>-1</v>
      </c>
      <c r="C96" s="18" t="str">
        <f aca="false">IF(B96&gt;=5,"SMASH BUY",IF(B96&gt;=2,"BUY",IF(B96&gt;=-1,"NEUTRAL",IF(B96&gt;=-4,"AVOID","DO NOT BID"))))</f>
        <v>NEUTRAL</v>
      </c>
      <c r="D96" s="18" t="str">
        <f aca="false">IF(COUNTIFS('Auction Log'!$B$5:$B$304,A96,'Auction Log'!$D$5:$D$304,"&lt;&gt;",'Auction Log'!$E$5:$E$304,"&gt;0")=0,"Available",IFERROR(INDEX('Auction Log'!$D$5:$D$304,MATCH(1,('Auction Log'!$B$5:$B$304=A96)*('Auction Log'!$D$5:$D$304&lt;&gt;"")*('Auction Log'!$E$5:$E$304&gt;0),0)),"SOLD"))</f>
        <v>Available</v>
      </c>
      <c r="E96" s="19" t="str">
        <f aca="false">IF(COUNTIFS('Auction Log'!$B$5:$B$304,A96,'Auction Log'!$D$5:$D$304,"&lt;&gt;",'Auction Log'!$E$5:$E$304,"&gt;0")=0,"",IFERROR(INDEX('Auction Log'!$E$5:$E$304,MATCH(1,('Auction Log'!$B$5:$B$304=A96)*('Auction Log'!$D$5:$D$304&lt;&gt;"")*('Auction Log'!$E$5:$E$304&gt;0),0)),""))</f>
        <v/>
      </c>
      <c r="F96" s="18" t="s">
        <v>171</v>
      </c>
      <c r="G96" s="18" t="s">
        <v>21</v>
      </c>
      <c r="H96" s="18" t="n">
        <v>10</v>
      </c>
      <c r="I96" s="18" t="n">
        <v>90</v>
      </c>
      <c r="J96" s="18" t="n">
        <v>7</v>
      </c>
      <c r="K96" s="36" t="n">
        <v>162</v>
      </c>
      <c r="L96" s="36" t="n">
        <v>150</v>
      </c>
      <c r="M96" s="19" t="n">
        <v>1</v>
      </c>
      <c r="N96" s="19" t="n">
        <v>10</v>
      </c>
      <c r="O96" s="19" t="n">
        <v>-1</v>
      </c>
      <c r="P96" s="19" t="n">
        <v>0</v>
      </c>
      <c r="Q96" s="19" t="n">
        <v>0</v>
      </c>
      <c r="R96" s="19" t="n">
        <v>9</v>
      </c>
      <c r="S96" s="19" t="n">
        <v>8</v>
      </c>
      <c r="T96" s="18" t="s">
        <v>125</v>
      </c>
      <c r="U96" s="32"/>
      <c r="V96" s="19" t="str">
        <f aca="false">IF(E96="","",R96-E96)</f>
        <v/>
      </c>
      <c r="W96" s="18" t="s">
        <v>98</v>
      </c>
      <c r="X96" s="4" t="n">
        <f aca="false">IF(AND(D96="Available",R96&gt;=55),ROW(),9999)</f>
        <v>9999</v>
      </c>
      <c r="Y96" s="4" t="n">
        <f aca="false">IF(AND(D96="Available",R96&gt;=40,R96&lt;55),ROW(),9999)</f>
        <v>9999</v>
      </c>
      <c r="Z96" s="4" t="n">
        <f aca="false">IF(AND(D96="Available",R96&gt;=25,R96&lt;40),ROW(),9999)</f>
        <v>9999</v>
      </c>
      <c r="AA96" s="35" t="n">
        <f aca="false">IF(K96="","",IF(L96="",K96,ROUND(AVERAGE(K96,L96),0)))</f>
        <v>156</v>
      </c>
    </row>
    <row r="97" customFormat="false" ht="15" hidden="false" customHeight="false" outlineLevel="0" collapsed="false">
      <c r="A97" s="18" t="s">
        <v>233</v>
      </c>
      <c r="B97" s="19" t="n">
        <f aca="false">R97-N97</f>
        <v>-2</v>
      </c>
      <c r="C97" s="18" t="str">
        <f aca="false">IF(B97&gt;=5,"SMASH BUY",IF(B97&gt;=2,"BUY",IF(B97&gt;=-1,"NEUTRAL",IF(B97&gt;=-4,"AVOID","DO NOT BID"))))</f>
        <v>AVOID</v>
      </c>
      <c r="D97" s="18" t="str">
        <f aca="false">IF(COUNTIFS('Auction Log'!$B$5:$B$304,A97,'Auction Log'!$D$5:$D$304,"&lt;&gt;",'Auction Log'!$E$5:$E$304,"&gt;0")=0,"Available",IFERROR(INDEX('Auction Log'!$D$5:$D$304,MATCH(1,('Auction Log'!$B$5:$B$304=A97)*('Auction Log'!$D$5:$D$304&lt;&gt;"")*('Auction Log'!$E$5:$E$304&gt;0),0)),"SOLD"))</f>
        <v>Available</v>
      </c>
      <c r="E97" s="19" t="str">
        <f aca="false">IF(COUNTIFS('Auction Log'!$B$5:$B$304,A97,'Auction Log'!$D$5:$D$304,"&lt;&gt;",'Auction Log'!$E$5:$E$304,"&gt;0")=0,"",IFERROR(INDEX('Auction Log'!$E$5:$E$304,MATCH(1,('Auction Log'!$B$5:$B$304=A97)*('Auction Log'!$D$5:$D$304&lt;&gt;"")*('Auction Log'!$E$5:$E$304&gt;0),0)),""))</f>
        <v/>
      </c>
      <c r="F97" s="18" t="s">
        <v>150</v>
      </c>
      <c r="G97" s="18" t="s">
        <v>16</v>
      </c>
      <c r="H97" s="18" t="n">
        <v>8</v>
      </c>
      <c r="I97" s="18" t="n">
        <v>94</v>
      </c>
      <c r="J97" s="18" t="n">
        <v>7</v>
      </c>
      <c r="K97" s="36" t="n">
        <v>310</v>
      </c>
      <c r="L97" s="36" t="n">
        <v>300</v>
      </c>
      <c r="M97" s="19" t="n">
        <v>5</v>
      </c>
      <c r="N97" s="19" t="n">
        <v>11</v>
      </c>
      <c r="O97" s="19" t="n">
        <v>-1</v>
      </c>
      <c r="P97" s="19" t="n">
        <v>-1</v>
      </c>
      <c r="Q97" s="19" t="n">
        <v>0</v>
      </c>
      <c r="R97" s="19" t="n">
        <v>9</v>
      </c>
      <c r="S97" s="19" t="n">
        <v>8</v>
      </c>
      <c r="T97" s="18" t="s">
        <v>125</v>
      </c>
      <c r="U97" s="32"/>
      <c r="V97" s="19" t="str">
        <f aca="false">IF(E97="","",R97-E97)</f>
        <v/>
      </c>
      <c r="W97" s="18" t="s">
        <v>98</v>
      </c>
      <c r="X97" s="4" t="n">
        <f aca="false">IF(AND(D97="Available",R97&gt;=55),ROW(),9999)</f>
        <v>9999</v>
      </c>
      <c r="Y97" s="4" t="n">
        <f aca="false">IF(AND(D97="Available",R97&gt;=40,R97&lt;55),ROW(),9999)</f>
        <v>9999</v>
      </c>
      <c r="Z97" s="4" t="n">
        <f aca="false">IF(AND(D97="Available",R97&gt;=25,R97&lt;40),ROW(),9999)</f>
        <v>9999</v>
      </c>
      <c r="AA97" s="35" t="n">
        <f aca="false">IF(K97="","",IF(L97="",K97,ROUND(AVERAGE(K97,L97),0)))</f>
        <v>305</v>
      </c>
    </row>
    <row r="98" customFormat="false" ht="15" hidden="false" customHeight="false" outlineLevel="0" collapsed="false">
      <c r="A98" s="18" t="s">
        <v>234</v>
      </c>
      <c r="B98" s="19" t="n">
        <f aca="false">R98-N98</f>
        <v>-3</v>
      </c>
      <c r="C98" s="18" t="str">
        <f aca="false">IF(B98&gt;=5,"SMASH BUY",IF(B98&gt;=2,"BUY",IF(B98&gt;=-1,"NEUTRAL",IF(B98&gt;=-4,"AVOID","DO NOT BID"))))</f>
        <v>AVOID</v>
      </c>
      <c r="D98" s="18" t="str">
        <f aca="false">IF(COUNTIFS('Auction Log'!$B$5:$B$304,A98,'Auction Log'!$D$5:$D$304,"&lt;&gt;",'Auction Log'!$E$5:$E$304,"&gt;0")=0,"Available",IFERROR(INDEX('Auction Log'!$D$5:$D$304,MATCH(1,('Auction Log'!$B$5:$B$304=A98)*('Auction Log'!$D$5:$D$304&lt;&gt;"")*('Auction Log'!$E$5:$E$304&gt;0),0)),"SOLD"))</f>
        <v>Available</v>
      </c>
      <c r="E98" s="19" t="str">
        <f aca="false">IF(COUNTIFS('Auction Log'!$B$5:$B$304,A98,'Auction Log'!$D$5:$D$304,"&lt;&gt;",'Auction Log'!$E$5:$E$304,"&gt;0")=0,"",IFERROR(INDEX('Auction Log'!$E$5:$E$304,MATCH(1,('Auction Log'!$B$5:$B$304=A98)*('Auction Log'!$D$5:$D$304&lt;&gt;"")*('Auction Log'!$E$5:$E$304&gt;0),0)),""))</f>
        <v/>
      </c>
      <c r="F98" s="18" t="s">
        <v>124</v>
      </c>
      <c r="G98" s="18" t="s">
        <v>30</v>
      </c>
      <c r="H98" s="18" t="n">
        <v>5</v>
      </c>
      <c r="I98" s="18" t="n">
        <v>95</v>
      </c>
      <c r="J98" s="18" t="n">
        <v>7</v>
      </c>
      <c r="K98" s="36" t="n">
        <v>182</v>
      </c>
      <c r="L98" s="36" t="n">
        <v>177</v>
      </c>
      <c r="M98" s="19" t="n">
        <v>2</v>
      </c>
      <c r="N98" s="19" t="n">
        <v>12</v>
      </c>
      <c r="O98" s="19" t="n">
        <v>-3</v>
      </c>
      <c r="P98" s="19" t="n">
        <v>0</v>
      </c>
      <c r="Q98" s="19" t="n">
        <v>0</v>
      </c>
      <c r="R98" s="19" t="n">
        <v>9</v>
      </c>
      <c r="S98" s="19" t="n">
        <v>8</v>
      </c>
      <c r="T98" s="18" t="s">
        <v>125</v>
      </c>
      <c r="U98" s="32"/>
      <c r="V98" s="19" t="str">
        <f aca="false">IF(E98="","",R98-E98)</f>
        <v/>
      </c>
      <c r="W98" s="18" t="s">
        <v>98</v>
      </c>
      <c r="X98" s="4" t="n">
        <f aca="false">IF(AND(D98="Available",R98&gt;=55),ROW(),9999)</f>
        <v>9999</v>
      </c>
      <c r="Y98" s="4" t="n">
        <f aca="false">IF(AND(D98="Available",R98&gt;=40,R98&lt;55),ROW(),9999)</f>
        <v>9999</v>
      </c>
      <c r="Z98" s="4" t="n">
        <f aca="false">IF(AND(D98="Available",R98&gt;=25,R98&lt;40),ROW(),9999)</f>
        <v>9999</v>
      </c>
      <c r="AA98" s="35" t="n">
        <f aca="false">IF(K98="","",IF(L98="",K98,ROUND(AVERAGE(K98,L98),0)))</f>
        <v>180</v>
      </c>
    </row>
    <row r="99" customFormat="false" ht="28.5" hidden="false" customHeight="true" outlineLevel="0" collapsed="false">
      <c r="A99" s="18" t="s">
        <v>235</v>
      </c>
      <c r="B99" s="19" t="n">
        <f aca="false">R99-N99</f>
        <v>-3</v>
      </c>
      <c r="C99" s="18" t="str">
        <f aca="false">IF(B99&gt;=5,"SMASH BUY",IF(B99&gt;=2,"BUY",IF(B99&gt;=-1,"NEUTRAL",IF(B99&gt;=-4,"AVOID","DO NOT BID"))))</f>
        <v>AVOID</v>
      </c>
      <c r="D99" s="18" t="str">
        <f aca="false">IF(COUNTIFS('Auction Log'!$B$5:$B$304,A99,'Auction Log'!$D$5:$D$304,"&lt;&gt;",'Auction Log'!$E$5:$E$304,"&gt;0")=0,"Available",IFERROR(INDEX('Auction Log'!$D$5:$D$304,MATCH(1,('Auction Log'!$B$5:$B$304=A99)*('Auction Log'!$D$5:$D$304&lt;&gt;"")*('Auction Log'!$E$5:$E$304&gt;0),0)),"SOLD"))</f>
        <v>Available</v>
      </c>
      <c r="E99" s="19" t="str">
        <f aca="false">IF(COUNTIFS('Auction Log'!$B$5:$B$304,A99,'Auction Log'!$D$5:$D$304,"&lt;&gt;",'Auction Log'!$E$5:$E$304,"&gt;0")=0,"",IFERROR(INDEX('Auction Log'!$E$5:$E$304,MATCH(1,('Auction Log'!$B$5:$B$304=A99)*('Auction Log'!$D$5:$D$304&lt;&gt;"")*('Auction Log'!$E$5:$E$304&gt;0),0)),""))</f>
        <v/>
      </c>
      <c r="F99" s="18" t="s">
        <v>111</v>
      </c>
      <c r="G99" s="18" t="s">
        <v>30</v>
      </c>
      <c r="H99" s="18" t="n">
        <v>8</v>
      </c>
      <c r="I99" s="18" t="n">
        <v>97</v>
      </c>
      <c r="J99" s="18" t="n">
        <v>7</v>
      </c>
      <c r="K99" s="36" t="n">
        <v>181</v>
      </c>
      <c r="L99" s="36" t="n">
        <v>177</v>
      </c>
      <c r="M99" s="19" t="n">
        <v>2</v>
      </c>
      <c r="N99" s="19" t="n">
        <v>12</v>
      </c>
      <c r="O99" s="19" t="n">
        <v>-3</v>
      </c>
      <c r="P99" s="19" t="n">
        <v>0</v>
      </c>
      <c r="Q99" s="19" t="n">
        <v>0</v>
      </c>
      <c r="R99" s="19" t="n">
        <v>9</v>
      </c>
      <c r="S99" s="19" t="n">
        <v>8</v>
      </c>
      <c r="T99" s="18" t="s">
        <v>125</v>
      </c>
      <c r="U99" s="32" t="s">
        <v>236</v>
      </c>
      <c r="V99" s="19" t="str">
        <f aca="false">IF(E99="","",R99-E99)</f>
        <v/>
      </c>
      <c r="W99" s="18" t="s">
        <v>98</v>
      </c>
      <c r="X99" s="4" t="n">
        <f aca="false">IF(AND(D99="Available",R99&gt;=55),ROW(),9999)</f>
        <v>9999</v>
      </c>
      <c r="Y99" s="4" t="n">
        <f aca="false">IF(AND(D99="Available",R99&gt;=40,R99&lt;55),ROW(),9999)</f>
        <v>9999</v>
      </c>
      <c r="Z99" s="4" t="n">
        <f aca="false">IF(AND(D99="Available",R99&gt;=25,R99&lt;40),ROW(),9999)</f>
        <v>9999</v>
      </c>
      <c r="AA99" s="35" t="n">
        <f aca="false">IF(K99="","",IF(L99="",K99,ROUND(AVERAGE(K99,L99),0)))</f>
        <v>179</v>
      </c>
    </row>
    <row r="100" customFormat="false" ht="28.5" hidden="false" customHeight="true" outlineLevel="0" collapsed="false">
      <c r="A100" s="18" t="s">
        <v>237</v>
      </c>
      <c r="B100" s="19" t="n">
        <f aca="false">R100-N100</f>
        <v>-3</v>
      </c>
      <c r="C100" s="18" t="str">
        <f aca="false">IF(B100&gt;=5,"SMASH BUY",IF(B100&gt;=2,"BUY",IF(B100&gt;=-1,"NEUTRAL",IF(B100&gt;=-4,"AVOID","DO NOT BID"))))</f>
        <v>AVOID</v>
      </c>
      <c r="D100" s="18" t="str">
        <f aca="false">IF(COUNTIFS('Auction Log'!$B$5:$B$304,A100,'Auction Log'!$D$5:$D$304,"&lt;&gt;",'Auction Log'!$E$5:$E$304,"&gt;0")=0,"Available",IFERROR(INDEX('Auction Log'!$D$5:$D$304,MATCH(1,('Auction Log'!$B$5:$B$304=A100)*('Auction Log'!$D$5:$D$304&lt;&gt;"")*('Auction Log'!$E$5:$E$304&gt;0),0)),"SOLD"))</f>
        <v>Available</v>
      </c>
      <c r="E100" s="19" t="str">
        <f aca="false">IF(COUNTIFS('Auction Log'!$B$5:$B$304,A100,'Auction Log'!$D$5:$D$304,"&lt;&gt;",'Auction Log'!$E$5:$E$304,"&gt;0")=0,"",IFERROR(INDEX('Auction Log'!$E$5:$E$304,MATCH(1,('Auction Log'!$B$5:$B$304=A100)*('Auction Log'!$D$5:$D$304&lt;&gt;"")*('Auction Log'!$E$5:$E$304&gt;0),0)),""))</f>
        <v/>
      </c>
      <c r="F100" s="18" t="s">
        <v>158</v>
      </c>
      <c r="G100" s="18" t="s">
        <v>30</v>
      </c>
      <c r="H100" s="18" t="n">
        <v>11</v>
      </c>
      <c r="I100" s="18" t="n">
        <v>74</v>
      </c>
      <c r="J100" s="18" t="n">
        <v>7</v>
      </c>
      <c r="K100" s="36" t="n">
        <v>178</v>
      </c>
      <c r="L100" s="36" t="n">
        <v>181</v>
      </c>
      <c r="M100" s="19" t="n">
        <v>2</v>
      </c>
      <c r="N100" s="19" t="n">
        <v>11</v>
      </c>
      <c r="O100" s="19" t="n">
        <v>-1</v>
      </c>
      <c r="P100" s="19" t="n">
        <v>0</v>
      </c>
      <c r="Q100" s="19" t="n">
        <v>2</v>
      </c>
      <c r="R100" s="19" t="n">
        <v>8</v>
      </c>
      <c r="S100" s="19" t="n">
        <v>7</v>
      </c>
      <c r="T100" s="18" t="s">
        <v>107</v>
      </c>
      <c r="U100" s="32" t="s">
        <v>238</v>
      </c>
      <c r="V100" s="19" t="str">
        <f aca="false">IF(E100="","",R100-E100)</f>
        <v/>
      </c>
      <c r="W100" s="18" t="s">
        <v>98</v>
      </c>
      <c r="X100" s="4" t="n">
        <f aca="false">IF(AND(D100="Available",R100&gt;=55),ROW(),9999)</f>
        <v>9999</v>
      </c>
      <c r="Y100" s="4" t="n">
        <f aca="false">IF(AND(D100="Available",R100&gt;=40,R100&lt;55),ROW(),9999)</f>
        <v>9999</v>
      </c>
      <c r="Z100" s="4" t="n">
        <f aca="false">IF(AND(D100="Available",R100&gt;=25,R100&lt;40),ROW(),9999)</f>
        <v>9999</v>
      </c>
      <c r="AA100" s="35" t="n">
        <f aca="false">IF(K100="","",IF(L100="",K100,ROUND(AVERAGE(K100,L100),0)))</f>
        <v>180</v>
      </c>
    </row>
    <row r="101" customFormat="false" ht="15" hidden="false" customHeight="false" outlineLevel="0" collapsed="false">
      <c r="A101" s="18" t="s">
        <v>239</v>
      </c>
      <c r="B101" s="19" t="n">
        <f aca="false">R101-N101</f>
        <v>-1</v>
      </c>
      <c r="C101" s="18" t="str">
        <f aca="false">IF(B101&gt;=5,"SMASH BUY",IF(B101&gt;=2,"BUY",IF(B101&gt;=-1,"NEUTRAL",IF(B101&gt;=-4,"AVOID","DO NOT BID"))))</f>
        <v>NEUTRAL</v>
      </c>
      <c r="D101" s="18" t="str">
        <f aca="false">IF(COUNTIFS('Auction Log'!$B$5:$B$304,A101,'Auction Log'!$D$5:$D$304,"&lt;&gt;",'Auction Log'!$E$5:$E$304,"&gt;0")=0,"Available",IFERROR(INDEX('Auction Log'!$D$5:$D$304,MATCH(1,('Auction Log'!$B$5:$B$304=A101)*('Auction Log'!$D$5:$D$304&lt;&gt;"")*('Auction Log'!$E$5:$E$304&gt;0),0)),"SOLD"))</f>
        <v>Available</v>
      </c>
      <c r="E101" s="19" t="str">
        <f aca="false">IF(COUNTIFS('Auction Log'!$B$5:$B$304,A101,'Auction Log'!$D$5:$D$304,"&lt;&gt;",'Auction Log'!$E$5:$E$304,"&gt;0")=0,"",IFERROR(INDEX('Auction Log'!$E$5:$E$304,MATCH(1,('Auction Log'!$B$5:$B$304=A101)*('Auction Log'!$D$5:$D$304&lt;&gt;"")*('Auction Log'!$E$5:$E$304&gt;0),0)),""))</f>
        <v/>
      </c>
      <c r="F101" s="18" t="s">
        <v>113</v>
      </c>
      <c r="G101" s="18" t="s">
        <v>26</v>
      </c>
      <c r="H101" s="18" t="n">
        <v>13</v>
      </c>
      <c r="I101" s="18" t="n">
        <v>86</v>
      </c>
      <c r="J101" s="18" t="n">
        <v>7</v>
      </c>
      <c r="K101" s="36" t="n">
        <v>164</v>
      </c>
      <c r="L101" s="36" t="n">
        <v>158</v>
      </c>
      <c r="M101" s="19" t="n">
        <v>2</v>
      </c>
      <c r="N101" s="19" t="n">
        <v>9</v>
      </c>
      <c r="O101" s="19" t="n">
        <v>0</v>
      </c>
      <c r="P101" s="19" t="n">
        <v>-1</v>
      </c>
      <c r="Q101" s="19" t="n">
        <v>0</v>
      </c>
      <c r="R101" s="19" t="n">
        <v>8</v>
      </c>
      <c r="S101" s="19" t="n">
        <v>7</v>
      </c>
      <c r="T101" s="18" t="s">
        <v>125</v>
      </c>
      <c r="U101" s="32"/>
      <c r="V101" s="19" t="str">
        <f aca="false">IF(E101="","",R101-E101)</f>
        <v/>
      </c>
      <c r="W101" s="18" t="s">
        <v>98</v>
      </c>
      <c r="X101" s="4" t="n">
        <f aca="false">IF(AND(D101="Available",R101&gt;=55),ROW(),9999)</f>
        <v>9999</v>
      </c>
      <c r="Y101" s="4" t="n">
        <f aca="false">IF(AND(D101="Available",R101&gt;=40,R101&lt;55),ROW(),9999)</f>
        <v>9999</v>
      </c>
      <c r="Z101" s="4" t="n">
        <f aca="false">IF(AND(D101="Available",R101&gt;=25,R101&lt;40),ROW(),9999)</f>
        <v>9999</v>
      </c>
      <c r="AA101" s="35" t="n">
        <f aca="false">IF(K101="","",IF(L101="",K101,ROUND(AVERAGE(K101,L101),0)))</f>
        <v>161</v>
      </c>
    </row>
    <row r="102" customFormat="false" ht="15" hidden="false" customHeight="false" outlineLevel="0" collapsed="false">
      <c r="A102" s="18" t="s">
        <v>240</v>
      </c>
      <c r="B102" s="19" t="n">
        <f aca="false">R102-N102</f>
        <v>-2</v>
      </c>
      <c r="C102" s="18" t="str">
        <f aca="false">IF(B102&gt;=5,"SMASH BUY",IF(B102&gt;=2,"BUY",IF(B102&gt;=-1,"NEUTRAL",IF(B102&gt;=-4,"AVOID","DO NOT BID"))))</f>
        <v>AVOID</v>
      </c>
      <c r="D102" s="18" t="str">
        <f aca="false">IF(COUNTIFS('Auction Log'!$B$5:$B$304,A102,'Auction Log'!$D$5:$D$304,"&lt;&gt;",'Auction Log'!$E$5:$E$304,"&gt;0")=0,"Available",IFERROR(INDEX('Auction Log'!$D$5:$D$304,MATCH(1,('Auction Log'!$B$5:$B$304=A102)*('Auction Log'!$D$5:$D$304&lt;&gt;"")*('Auction Log'!$E$5:$E$304&gt;0),0)),"SOLD"))</f>
        <v>Available</v>
      </c>
      <c r="E102" s="19" t="str">
        <f aca="false">IF(COUNTIFS('Auction Log'!$B$5:$B$304,A102,'Auction Log'!$D$5:$D$304,"&lt;&gt;",'Auction Log'!$E$5:$E$304,"&gt;0")=0,"",IFERROR(INDEX('Auction Log'!$E$5:$E$304,MATCH(1,('Auction Log'!$B$5:$B$304=A102)*('Auction Log'!$D$5:$D$304&lt;&gt;"")*('Auction Log'!$E$5:$E$304&gt;0),0)),""))</f>
        <v/>
      </c>
      <c r="F102" s="18" t="s">
        <v>144</v>
      </c>
      <c r="G102" s="18" t="s">
        <v>26</v>
      </c>
      <c r="H102" s="18" t="n">
        <v>7</v>
      </c>
      <c r="I102" s="18" t="n">
        <v>93</v>
      </c>
      <c r="J102" s="18" t="n">
        <v>7</v>
      </c>
      <c r="K102" s="36" t="n">
        <v>170</v>
      </c>
      <c r="L102" s="36" t="n">
        <v>165</v>
      </c>
      <c r="M102" s="19" t="n">
        <v>2</v>
      </c>
      <c r="N102" s="19" t="n">
        <v>10</v>
      </c>
      <c r="O102" s="19" t="n">
        <v>-2</v>
      </c>
      <c r="P102" s="19" t="n">
        <v>0</v>
      </c>
      <c r="Q102" s="19" t="n">
        <v>0</v>
      </c>
      <c r="R102" s="19" t="n">
        <v>8</v>
      </c>
      <c r="S102" s="19" t="n">
        <v>7</v>
      </c>
      <c r="T102" s="18" t="s">
        <v>125</v>
      </c>
      <c r="U102" s="32" t="s">
        <v>241</v>
      </c>
      <c r="V102" s="19" t="str">
        <f aca="false">IF(E102="","",R102-E102)</f>
        <v/>
      </c>
      <c r="W102" s="18" t="s">
        <v>98</v>
      </c>
      <c r="X102" s="4" t="n">
        <f aca="false">IF(AND(D102="Available",R102&gt;=55),ROW(),9999)</f>
        <v>9999</v>
      </c>
      <c r="Y102" s="4" t="n">
        <f aca="false">IF(AND(D102="Available",R102&gt;=40,R102&lt;55),ROW(),9999)</f>
        <v>9999</v>
      </c>
      <c r="Z102" s="4" t="n">
        <f aca="false">IF(AND(D102="Available",R102&gt;=25,R102&lt;40),ROW(),9999)</f>
        <v>9999</v>
      </c>
      <c r="AA102" s="35" t="n">
        <f aca="false">IF(K102="","",IF(L102="",K102,ROUND(AVERAGE(K102,L102),0)))</f>
        <v>168</v>
      </c>
    </row>
    <row r="103" customFormat="false" ht="15" hidden="false" customHeight="false" outlineLevel="0" collapsed="false">
      <c r="A103" s="18" t="s">
        <v>242</v>
      </c>
      <c r="B103" s="19" t="n">
        <f aca="false">R103-N103</f>
        <v>1</v>
      </c>
      <c r="C103" s="18" t="str">
        <f aca="false">IF(B103&gt;=5,"SMASH BUY",IF(B103&gt;=2,"BUY",IF(B103&gt;=-1,"NEUTRAL",IF(B103&gt;=-4,"AVOID","DO NOT BID"))))</f>
        <v>NEUTRAL</v>
      </c>
      <c r="D103" s="18" t="str">
        <f aca="false">IF(COUNTIFS('Auction Log'!$B$5:$B$304,A103,'Auction Log'!$D$5:$D$304,"&lt;&gt;",'Auction Log'!$E$5:$E$304,"&gt;0")=0,"Available",IFERROR(INDEX('Auction Log'!$D$5:$D$304,MATCH(1,('Auction Log'!$B$5:$B$304=A103)*('Auction Log'!$D$5:$D$304&lt;&gt;"")*('Auction Log'!$E$5:$E$304&gt;0),0)),"SOLD"))</f>
        <v>Available</v>
      </c>
      <c r="E103" s="19" t="str">
        <f aca="false">IF(COUNTIFS('Auction Log'!$B$5:$B$304,A103,'Auction Log'!$D$5:$D$304,"&lt;&gt;",'Auction Log'!$E$5:$E$304,"&gt;0")=0,"",IFERROR(INDEX('Auction Log'!$E$5:$E$304,MATCH(1,('Auction Log'!$B$5:$B$304=A103)*('Auction Log'!$D$5:$D$304&lt;&gt;"")*('Auction Log'!$E$5:$E$304&gt;0),0)),""))</f>
        <v/>
      </c>
      <c r="F103" s="18" t="s">
        <v>171</v>
      </c>
      <c r="G103" s="18" t="s">
        <v>16</v>
      </c>
      <c r="H103" s="18" t="n">
        <v>10</v>
      </c>
      <c r="I103" s="18" t="n">
        <v>102</v>
      </c>
      <c r="J103" s="18" t="n">
        <v>8</v>
      </c>
      <c r="K103" s="36" t="n">
        <v>298</v>
      </c>
      <c r="L103" s="36" t="n">
        <v>296</v>
      </c>
      <c r="M103" s="19" t="n">
        <v>4</v>
      </c>
      <c r="N103" s="19" t="n">
        <v>7</v>
      </c>
      <c r="O103" s="19" t="n">
        <v>1</v>
      </c>
      <c r="P103" s="19" t="n">
        <v>0</v>
      </c>
      <c r="Q103" s="19" t="n">
        <v>0</v>
      </c>
      <c r="R103" s="19" t="n">
        <v>8</v>
      </c>
      <c r="S103" s="19" t="n">
        <v>7</v>
      </c>
      <c r="T103" s="18" t="s">
        <v>125</v>
      </c>
      <c r="U103" s="32"/>
      <c r="V103" s="19" t="str">
        <f aca="false">IF(E103="","",R103-E103)</f>
        <v/>
      </c>
      <c r="W103" s="18" t="s">
        <v>98</v>
      </c>
      <c r="X103" s="4" t="n">
        <f aca="false">IF(AND(D103="Available",R103&gt;=55),ROW(),9999)</f>
        <v>9999</v>
      </c>
      <c r="Y103" s="4" t="n">
        <f aca="false">IF(AND(D103="Available",R103&gt;=40,R103&lt;55),ROW(),9999)</f>
        <v>9999</v>
      </c>
      <c r="Z103" s="4" t="n">
        <f aca="false">IF(AND(D103="Available",R103&gt;=25,R103&lt;40),ROW(),9999)</f>
        <v>9999</v>
      </c>
      <c r="AA103" s="35" t="n">
        <f aca="false">IF(K103="","",IF(L103="",K103,ROUND(AVERAGE(K103,L103),0)))</f>
        <v>297</v>
      </c>
    </row>
    <row r="104" customFormat="false" ht="28.5" hidden="false" customHeight="true" outlineLevel="0" collapsed="false">
      <c r="A104" s="18" t="s">
        <v>243</v>
      </c>
      <c r="B104" s="19" t="n">
        <f aca="false">R104-N104</f>
        <v>-4</v>
      </c>
      <c r="C104" s="18" t="str">
        <f aca="false">IF(B104&gt;=5,"SMASH BUY",IF(B104&gt;=2,"BUY",IF(B104&gt;=-1,"NEUTRAL",IF(B104&gt;=-4,"AVOID","DO NOT BID"))))</f>
        <v>AVOID</v>
      </c>
      <c r="D104" s="18" t="str">
        <f aca="false">IF(COUNTIFS('Auction Log'!$B$5:$B$304,A104,'Auction Log'!$D$5:$D$304,"&lt;&gt;",'Auction Log'!$E$5:$E$304,"&gt;0")=0,"Available",IFERROR(INDEX('Auction Log'!$D$5:$D$304,MATCH(1,('Auction Log'!$B$5:$B$304=A104)*('Auction Log'!$D$5:$D$304&lt;&gt;"")*('Auction Log'!$E$5:$E$304&gt;0),0)),"SOLD"))</f>
        <v>Available</v>
      </c>
      <c r="E104" s="19" t="str">
        <f aca="false">IF(COUNTIFS('Auction Log'!$B$5:$B$304,A104,'Auction Log'!$D$5:$D$304,"&lt;&gt;",'Auction Log'!$E$5:$E$304,"&gt;0")=0,"",IFERROR(INDEX('Auction Log'!$E$5:$E$304,MATCH(1,('Auction Log'!$B$5:$B$304=A104)*('Auction Log'!$D$5:$D$304&lt;&gt;"")*('Auction Log'!$E$5:$E$304&gt;0),0)),""))</f>
        <v/>
      </c>
      <c r="F104" s="18" t="s">
        <v>196</v>
      </c>
      <c r="G104" s="18" t="s">
        <v>26</v>
      </c>
      <c r="H104" s="18" t="n">
        <v>7</v>
      </c>
      <c r="I104" s="18" t="n">
        <v>103</v>
      </c>
      <c r="J104" s="18" t="n">
        <v>8</v>
      </c>
      <c r="K104" s="36" t="n">
        <v>179</v>
      </c>
      <c r="L104" s="36" t="n">
        <v>182</v>
      </c>
      <c r="M104" s="19" t="n">
        <v>4</v>
      </c>
      <c r="N104" s="19" t="n">
        <v>12</v>
      </c>
      <c r="O104" s="19" t="n">
        <v>-4</v>
      </c>
      <c r="P104" s="19" t="n">
        <v>0</v>
      </c>
      <c r="Q104" s="19" t="n">
        <v>0</v>
      </c>
      <c r="R104" s="19" t="n">
        <v>8</v>
      </c>
      <c r="S104" s="19" t="n">
        <v>7</v>
      </c>
      <c r="T104" s="18" t="s">
        <v>125</v>
      </c>
      <c r="U104" s="32" t="s">
        <v>244</v>
      </c>
      <c r="V104" s="19" t="str">
        <f aca="false">IF(E104="","",R104-E104)</f>
        <v/>
      </c>
      <c r="W104" s="18" t="s">
        <v>98</v>
      </c>
      <c r="X104" s="4" t="n">
        <f aca="false">IF(AND(D104="Available",R104&gt;=55),ROW(),9999)</f>
        <v>9999</v>
      </c>
      <c r="Y104" s="4" t="n">
        <f aca="false">IF(AND(D104="Available",R104&gt;=40,R104&lt;55),ROW(),9999)</f>
        <v>9999</v>
      </c>
      <c r="Z104" s="4" t="n">
        <f aca="false">IF(AND(D104="Available",R104&gt;=25,R104&lt;40),ROW(),9999)</f>
        <v>9999</v>
      </c>
      <c r="AA104" s="35" t="n">
        <f aca="false">IF(K104="","",IF(L104="",K104,ROUND(AVERAGE(K104,L104),0)))</f>
        <v>181</v>
      </c>
    </row>
    <row r="105" customFormat="false" ht="15" hidden="false" customHeight="false" outlineLevel="0" collapsed="false">
      <c r="A105" s="18" t="s">
        <v>245</v>
      </c>
      <c r="B105" s="19" t="n">
        <f aca="false">R105-N105</f>
        <v>3</v>
      </c>
      <c r="C105" s="18" t="str">
        <f aca="false">IF(B105&gt;=5,"SMASH BUY",IF(B105&gt;=2,"BUY",IF(B105&gt;=-1,"NEUTRAL",IF(B105&gt;=-4,"AVOID","DO NOT BID"))))</f>
        <v>BUY</v>
      </c>
      <c r="D105" s="18" t="str">
        <f aca="false">IF(COUNTIFS('Auction Log'!$B$5:$B$304,A105,'Auction Log'!$D$5:$D$304,"&lt;&gt;",'Auction Log'!$E$5:$E$304,"&gt;0")=0,"Available",IFERROR(INDEX('Auction Log'!$D$5:$D$304,MATCH(1,('Auction Log'!$B$5:$B$304=A105)*('Auction Log'!$D$5:$D$304&lt;&gt;"")*('Auction Log'!$E$5:$E$304&gt;0),0)),"SOLD"))</f>
        <v>Available</v>
      </c>
      <c r="E105" s="19" t="str">
        <f aca="false">IF(COUNTIFS('Auction Log'!$B$5:$B$304,A105,'Auction Log'!$D$5:$D$304,"&lt;&gt;",'Auction Log'!$E$5:$E$304,"&gt;0")=0,"",IFERROR(INDEX('Auction Log'!$E$5:$E$304,MATCH(1,('Auction Log'!$B$5:$B$304=A105)*('Auction Log'!$D$5:$D$304&lt;&gt;"")*('Auction Log'!$E$5:$E$304&gt;0),0)),""))</f>
        <v/>
      </c>
      <c r="F105" s="18" t="s">
        <v>96</v>
      </c>
      <c r="G105" s="18" t="s">
        <v>16</v>
      </c>
      <c r="H105" s="18" t="n">
        <v>6</v>
      </c>
      <c r="I105" s="18" t="n">
        <v>107</v>
      </c>
      <c r="J105" s="18" t="n">
        <v>8</v>
      </c>
      <c r="K105" s="36" t="n">
        <v>288</v>
      </c>
      <c r="L105" s="36" t="n">
        <v>268</v>
      </c>
      <c r="M105" s="19" t="n">
        <v>1</v>
      </c>
      <c r="N105" s="19" t="n">
        <v>5</v>
      </c>
      <c r="O105" s="19" t="n">
        <v>2</v>
      </c>
      <c r="P105" s="19" t="n">
        <v>1</v>
      </c>
      <c r="Q105" s="19" t="n">
        <v>0</v>
      </c>
      <c r="R105" s="19" t="n">
        <v>8</v>
      </c>
      <c r="S105" s="19" t="n">
        <v>7</v>
      </c>
      <c r="T105" s="18" t="s">
        <v>97</v>
      </c>
      <c r="U105" s="32"/>
      <c r="V105" s="19" t="str">
        <f aca="false">IF(E105="","",R105-E105)</f>
        <v/>
      </c>
      <c r="W105" s="18" t="s">
        <v>98</v>
      </c>
      <c r="X105" s="4" t="n">
        <f aca="false">IF(AND(D105="Available",R105&gt;=55),ROW(),9999)</f>
        <v>9999</v>
      </c>
      <c r="Y105" s="4" t="n">
        <f aca="false">IF(AND(D105="Available",R105&gt;=40,R105&lt;55),ROW(),9999)</f>
        <v>9999</v>
      </c>
      <c r="Z105" s="4" t="n">
        <f aca="false">IF(AND(D105="Available",R105&gt;=25,R105&lt;40),ROW(),9999)</f>
        <v>9999</v>
      </c>
      <c r="AA105" s="35" t="n">
        <f aca="false">IF(K105="","",IF(L105="",K105,ROUND(AVERAGE(K105,L105),0)))</f>
        <v>278</v>
      </c>
    </row>
    <row r="106" customFormat="false" ht="15" hidden="false" customHeight="false" outlineLevel="0" collapsed="false">
      <c r="A106" s="18" t="s">
        <v>246</v>
      </c>
      <c r="B106" s="19" t="n">
        <f aca="false">R106-N106</f>
        <v>-2</v>
      </c>
      <c r="C106" s="18" t="str">
        <f aca="false">IF(B106&gt;=5,"SMASH BUY",IF(B106&gt;=2,"BUY",IF(B106&gt;=-1,"NEUTRAL",IF(B106&gt;=-4,"AVOID","DO NOT BID"))))</f>
        <v>AVOID</v>
      </c>
      <c r="D106" s="18" t="str">
        <f aca="false">IF(COUNTIFS('Auction Log'!$B$5:$B$304,A106,'Auction Log'!$D$5:$D$304,"&lt;&gt;",'Auction Log'!$E$5:$E$304,"&gt;0")=0,"Available",IFERROR(INDEX('Auction Log'!$D$5:$D$304,MATCH(1,('Auction Log'!$B$5:$B$304=A106)*('Auction Log'!$D$5:$D$304&lt;&gt;"")*('Auction Log'!$E$5:$E$304&gt;0),0)),"SOLD"))</f>
        <v>Available</v>
      </c>
      <c r="E106" s="19" t="str">
        <f aca="false">IF(COUNTIFS('Auction Log'!$B$5:$B$304,A106,'Auction Log'!$D$5:$D$304,"&lt;&gt;",'Auction Log'!$E$5:$E$304,"&gt;0")=0,"",IFERROR(INDEX('Auction Log'!$E$5:$E$304,MATCH(1,('Auction Log'!$B$5:$B$304=A106)*('Auction Log'!$D$5:$D$304&lt;&gt;"")*('Auction Log'!$E$5:$E$304&gt;0),0)),""))</f>
        <v/>
      </c>
      <c r="F106" s="18" t="s">
        <v>177</v>
      </c>
      <c r="G106" s="18" t="s">
        <v>26</v>
      </c>
      <c r="H106" s="18" t="n">
        <v>7</v>
      </c>
      <c r="I106" s="18" t="n">
        <v>92</v>
      </c>
      <c r="J106" s="18" t="n">
        <v>7</v>
      </c>
      <c r="K106" s="36" t="n">
        <v>166</v>
      </c>
      <c r="L106" s="36" t="n">
        <v>164</v>
      </c>
      <c r="M106" s="19" t="n">
        <v>1</v>
      </c>
      <c r="N106" s="19" t="n">
        <v>9</v>
      </c>
      <c r="O106" s="19" t="n">
        <v>-1</v>
      </c>
      <c r="P106" s="19" t="n">
        <v>-1</v>
      </c>
      <c r="Q106" s="19" t="n">
        <v>0</v>
      </c>
      <c r="R106" s="19" t="n">
        <v>7</v>
      </c>
      <c r="S106" s="19" t="n">
        <v>6</v>
      </c>
      <c r="T106" s="18" t="s">
        <v>125</v>
      </c>
      <c r="U106" s="32"/>
      <c r="V106" s="19" t="str">
        <f aca="false">IF(E106="","",R106-E106)</f>
        <v/>
      </c>
      <c r="W106" s="18" t="s">
        <v>98</v>
      </c>
      <c r="X106" s="4" t="n">
        <f aca="false">IF(AND(D106="Available",R106&gt;=55),ROW(),9999)</f>
        <v>9999</v>
      </c>
      <c r="Y106" s="4" t="n">
        <f aca="false">IF(AND(D106="Available",R106&gt;=40,R106&lt;55),ROW(),9999)</f>
        <v>9999</v>
      </c>
      <c r="Z106" s="4" t="n">
        <f aca="false">IF(AND(D106="Available",R106&gt;=25,R106&lt;40),ROW(),9999)</f>
        <v>9999</v>
      </c>
      <c r="AA106" s="35" t="n">
        <f aca="false">IF(K106="","",IF(L106="",K106,ROUND(AVERAGE(K106,L106),0)))</f>
        <v>165</v>
      </c>
    </row>
    <row r="107" customFormat="false" ht="28.5" hidden="false" customHeight="true" outlineLevel="0" collapsed="false">
      <c r="A107" s="18" t="s">
        <v>247</v>
      </c>
      <c r="B107" s="19" t="n">
        <f aca="false">R107-N107</f>
        <v>-5</v>
      </c>
      <c r="C107" s="18" t="str">
        <f aca="false">IF(B107&gt;=5,"SMASH BUY",IF(B107&gt;=2,"BUY",IF(B107&gt;=-1,"NEUTRAL",IF(B107&gt;=-4,"AVOID","DO NOT BID"))))</f>
        <v>DO NOT BID</v>
      </c>
      <c r="D107" s="18" t="str">
        <f aca="false">IF(COUNTIFS('Auction Log'!$B$5:$B$304,A107,'Auction Log'!$D$5:$D$304,"&lt;&gt;",'Auction Log'!$E$5:$E$304,"&gt;0")=0,"Available",IFERROR(INDEX('Auction Log'!$D$5:$D$304,MATCH(1,('Auction Log'!$B$5:$B$304=A107)*('Auction Log'!$D$5:$D$304&lt;&gt;"")*('Auction Log'!$E$5:$E$304&gt;0),0)),"SOLD"))</f>
        <v>Available</v>
      </c>
      <c r="E107" s="19" t="str">
        <f aca="false">IF(COUNTIFS('Auction Log'!$B$5:$B$304,A107,'Auction Log'!$D$5:$D$304,"&lt;&gt;",'Auction Log'!$E$5:$E$304,"&gt;0")=0,"",IFERROR(INDEX('Auction Log'!$E$5:$E$304,MATCH(1,('Auction Log'!$B$5:$B$304=A107)*('Auction Log'!$D$5:$D$304&lt;&gt;"")*('Auction Log'!$E$5:$E$304&gt;0),0)),""))</f>
        <v/>
      </c>
      <c r="F107" s="18" t="s">
        <v>156</v>
      </c>
      <c r="G107" s="18" t="s">
        <v>21</v>
      </c>
      <c r="H107" s="18" t="n">
        <v>5</v>
      </c>
      <c r="I107" s="18" t="n">
        <v>96</v>
      </c>
      <c r="J107" s="18" t="n">
        <v>7</v>
      </c>
      <c r="K107" s="36" t="n">
        <v>173</v>
      </c>
      <c r="L107" s="36" t="n">
        <v>173</v>
      </c>
      <c r="M107" s="19" t="n">
        <v>2</v>
      </c>
      <c r="N107" s="19" t="n">
        <v>12</v>
      </c>
      <c r="O107" s="19" t="n">
        <v>-3</v>
      </c>
      <c r="P107" s="19" t="n">
        <v>0</v>
      </c>
      <c r="Q107" s="19" t="n">
        <v>2</v>
      </c>
      <c r="R107" s="19" t="n">
        <v>7</v>
      </c>
      <c r="S107" s="19" t="n">
        <v>6</v>
      </c>
      <c r="T107" s="18" t="s">
        <v>125</v>
      </c>
      <c r="U107" s="32" t="s">
        <v>248</v>
      </c>
      <c r="V107" s="19" t="str">
        <f aca="false">IF(E107="","",R107-E107)</f>
        <v/>
      </c>
      <c r="W107" s="18" t="s">
        <v>98</v>
      </c>
      <c r="X107" s="4" t="n">
        <f aca="false">IF(AND(D107="Available",R107&gt;=55),ROW(),9999)</f>
        <v>9999</v>
      </c>
      <c r="Y107" s="4" t="n">
        <f aca="false">IF(AND(D107="Available",R107&gt;=40,R107&lt;55),ROW(),9999)</f>
        <v>9999</v>
      </c>
      <c r="Z107" s="4" t="n">
        <f aca="false">IF(AND(D107="Available",R107&gt;=25,R107&lt;40),ROW(),9999)</f>
        <v>9999</v>
      </c>
      <c r="AA107" s="35" t="n">
        <f aca="false">IF(K107="","",IF(L107="",K107,ROUND(AVERAGE(K107,L107),0)))</f>
        <v>173</v>
      </c>
    </row>
    <row r="108" customFormat="false" ht="28.5" hidden="false" customHeight="true" outlineLevel="0" collapsed="false">
      <c r="A108" s="18" t="s">
        <v>249</v>
      </c>
      <c r="B108" s="19" t="n">
        <f aca="false">R108-N108</f>
        <v>-1</v>
      </c>
      <c r="C108" s="18" t="str">
        <f aca="false">IF(B108&gt;=5,"SMASH BUY",IF(B108&gt;=2,"BUY",IF(B108&gt;=-1,"NEUTRAL",IF(B108&gt;=-4,"AVOID","DO NOT BID"))))</f>
        <v>NEUTRAL</v>
      </c>
      <c r="D108" s="18" t="str">
        <f aca="false">IF(COUNTIFS('Auction Log'!$B$5:$B$304,A108,'Auction Log'!$D$5:$D$304,"&lt;&gt;",'Auction Log'!$E$5:$E$304,"&gt;0")=0,"Available",IFERROR(INDEX('Auction Log'!$D$5:$D$304,MATCH(1,('Auction Log'!$B$5:$B$304=A108)*('Auction Log'!$D$5:$D$304&lt;&gt;"")*('Auction Log'!$E$5:$E$304&gt;0),0)),"SOLD"))</f>
        <v>Available</v>
      </c>
      <c r="E108" s="19" t="str">
        <f aca="false">IF(COUNTIFS('Auction Log'!$B$5:$B$304,A108,'Auction Log'!$D$5:$D$304,"&lt;&gt;",'Auction Log'!$E$5:$E$304,"&gt;0")=0,"",IFERROR(INDEX('Auction Log'!$E$5:$E$304,MATCH(1,('Auction Log'!$B$5:$B$304=A108)*('Auction Log'!$D$5:$D$304&lt;&gt;"")*('Auction Log'!$E$5:$E$304&gt;0),0)),""))</f>
        <v/>
      </c>
      <c r="F108" s="18" t="s">
        <v>124</v>
      </c>
      <c r="G108" s="18" t="s">
        <v>16</v>
      </c>
      <c r="H108" s="18" t="n">
        <v>5</v>
      </c>
      <c r="I108" s="18" t="n">
        <v>99</v>
      </c>
      <c r="J108" s="18" t="n">
        <v>8</v>
      </c>
      <c r="K108" s="36" t="n">
        <v>303</v>
      </c>
      <c r="L108" s="36" t="n">
        <v>291</v>
      </c>
      <c r="M108" s="19" t="n">
        <v>3</v>
      </c>
      <c r="N108" s="19" t="n">
        <v>8</v>
      </c>
      <c r="O108" s="19" t="n">
        <v>0</v>
      </c>
      <c r="P108" s="19" t="n">
        <v>0</v>
      </c>
      <c r="Q108" s="19" t="n">
        <v>1</v>
      </c>
      <c r="R108" s="19" t="n">
        <v>7</v>
      </c>
      <c r="S108" s="19" t="n">
        <v>6</v>
      </c>
      <c r="T108" s="18" t="s">
        <v>125</v>
      </c>
      <c r="U108" s="32" t="s">
        <v>250</v>
      </c>
      <c r="V108" s="19" t="str">
        <f aca="false">IF(E108="","",R108-E108)</f>
        <v/>
      </c>
      <c r="W108" s="18" t="s">
        <v>98</v>
      </c>
      <c r="X108" s="4" t="n">
        <f aca="false">IF(AND(D108="Available",R108&gt;=55),ROW(),9999)</f>
        <v>9999</v>
      </c>
      <c r="Y108" s="4" t="n">
        <f aca="false">IF(AND(D108="Available",R108&gt;=40,R108&lt;55),ROW(),9999)</f>
        <v>9999</v>
      </c>
      <c r="Z108" s="4" t="n">
        <f aca="false">IF(AND(D108="Available",R108&gt;=25,R108&lt;40),ROW(),9999)</f>
        <v>9999</v>
      </c>
      <c r="AA108" s="35" t="n">
        <f aca="false">IF(K108="","",IF(L108="",K108,ROUND(AVERAGE(K108,L108),0)))</f>
        <v>297</v>
      </c>
    </row>
    <row r="109" customFormat="false" ht="15" hidden="false" customHeight="false" outlineLevel="0" collapsed="false">
      <c r="A109" s="18" t="s">
        <v>251</v>
      </c>
      <c r="B109" s="19" t="n">
        <f aca="false">R109-N109</f>
        <v>-4</v>
      </c>
      <c r="C109" s="18" t="str">
        <f aca="false">IF(B109&gt;=5,"SMASH BUY",IF(B109&gt;=2,"BUY",IF(B109&gt;=-1,"NEUTRAL",IF(B109&gt;=-4,"AVOID","DO NOT BID"))))</f>
        <v>AVOID</v>
      </c>
      <c r="D109" s="18" t="str">
        <f aca="false">IF(COUNTIFS('Auction Log'!$B$5:$B$304,A109,'Auction Log'!$D$5:$D$304,"&lt;&gt;",'Auction Log'!$E$5:$E$304,"&gt;0")=0,"Available",IFERROR(INDEX('Auction Log'!$D$5:$D$304,MATCH(1,('Auction Log'!$B$5:$B$304=A109)*('Auction Log'!$D$5:$D$304&lt;&gt;"")*('Auction Log'!$E$5:$E$304&gt;0),0)),"SOLD"))</f>
        <v>Available</v>
      </c>
      <c r="E109" s="19" t="str">
        <f aca="false">IF(COUNTIFS('Auction Log'!$B$5:$B$304,A109,'Auction Log'!$D$5:$D$304,"&lt;&gt;",'Auction Log'!$E$5:$E$304,"&gt;0")=0,"",IFERROR(INDEX('Auction Log'!$E$5:$E$304,MATCH(1,('Auction Log'!$B$5:$B$304=A109)*('Auction Log'!$D$5:$D$304&lt;&gt;"")*('Auction Log'!$E$5:$E$304&gt;0),0)),""))</f>
        <v/>
      </c>
      <c r="F109" s="18" t="s">
        <v>173</v>
      </c>
      <c r="G109" s="18" t="s">
        <v>21</v>
      </c>
      <c r="H109" s="18" t="n">
        <v>10</v>
      </c>
      <c r="I109" s="18" t="n">
        <v>101</v>
      </c>
      <c r="J109" s="18" t="n">
        <v>8</v>
      </c>
      <c r="K109" s="36" t="n">
        <v>168</v>
      </c>
      <c r="L109" s="36"/>
      <c r="M109" s="19" t="n">
        <v>2</v>
      </c>
      <c r="N109" s="19" t="n">
        <v>11</v>
      </c>
      <c r="O109" s="19" t="n">
        <v>-3</v>
      </c>
      <c r="P109" s="19" t="n">
        <v>-1</v>
      </c>
      <c r="Q109" s="19" t="n">
        <v>0</v>
      </c>
      <c r="R109" s="19" t="n">
        <v>7</v>
      </c>
      <c r="S109" s="19" t="n">
        <v>6</v>
      </c>
      <c r="T109" s="18" t="s">
        <v>125</v>
      </c>
      <c r="U109" s="32"/>
      <c r="V109" s="19" t="str">
        <f aca="false">IF(E109="","",R109-E109)</f>
        <v/>
      </c>
      <c r="W109" s="18" t="s">
        <v>98</v>
      </c>
      <c r="X109" s="4" t="n">
        <f aca="false">IF(AND(D109="Available",R109&gt;=55),ROW(),9999)</f>
        <v>9999</v>
      </c>
      <c r="Y109" s="4" t="n">
        <f aca="false">IF(AND(D109="Available",R109&gt;=40,R109&lt;55),ROW(),9999)</f>
        <v>9999</v>
      </c>
      <c r="Z109" s="4" t="n">
        <f aca="false">IF(AND(D109="Available",R109&gt;=25,R109&lt;40),ROW(),9999)</f>
        <v>9999</v>
      </c>
      <c r="AA109" s="35" t="n">
        <f aca="false">IF(K109="","",IF(L109="",K109,ROUND(AVERAGE(K109,L109),0)))</f>
        <v>168</v>
      </c>
    </row>
    <row r="110" customFormat="false" ht="15" hidden="false" customHeight="false" outlineLevel="0" collapsed="false">
      <c r="A110" s="18" t="s">
        <v>252</v>
      </c>
      <c r="B110" s="19" t="n">
        <f aca="false">R110-N110</f>
        <v>-4</v>
      </c>
      <c r="C110" s="18" t="str">
        <f aca="false">IF(B110&gt;=5,"SMASH BUY",IF(B110&gt;=2,"BUY",IF(B110&gt;=-1,"NEUTRAL",IF(B110&gt;=-4,"AVOID","DO NOT BID"))))</f>
        <v>AVOID</v>
      </c>
      <c r="D110" s="18" t="str">
        <f aca="false">IF(COUNTIFS('Auction Log'!$B$5:$B$304,A110,'Auction Log'!$D$5:$D$304,"&lt;&gt;",'Auction Log'!$E$5:$E$304,"&gt;0")=0,"Available",IFERROR(INDEX('Auction Log'!$D$5:$D$304,MATCH(1,('Auction Log'!$B$5:$B$304=A110)*('Auction Log'!$D$5:$D$304&lt;&gt;"")*('Auction Log'!$E$5:$E$304&gt;0),0)),"SOLD"))</f>
        <v>Available</v>
      </c>
      <c r="E110" s="19" t="str">
        <f aca="false">IF(COUNTIFS('Auction Log'!$B$5:$B$304,A110,'Auction Log'!$D$5:$D$304,"&lt;&gt;",'Auction Log'!$E$5:$E$304,"&gt;0")=0,"",IFERROR(INDEX('Auction Log'!$E$5:$E$304,MATCH(1,('Auction Log'!$B$5:$B$304=A110)*('Auction Log'!$D$5:$D$304&lt;&gt;"")*('Auction Log'!$E$5:$E$304&gt;0),0)),""))</f>
        <v/>
      </c>
      <c r="F110" s="18" t="s">
        <v>158</v>
      </c>
      <c r="G110" s="18" t="s">
        <v>26</v>
      </c>
      <c r="H110" s="18" t="n">
        <v>11</v>
      </c>
      <c r="I110" s="18" t="n">
        <v>105</v>
      </c>
      <c r="J110" s="18" t="n">
        <v>8</v>
      </c>
      <c r="K110" s="36" t="n">
        <v>176</v>
      </c>
      <c r="L110" s="36" t="n">
        <v>170</v>
      </c>
      <c r="M110" s="19" t="n">
        <v>3</v>
      </c>
      <c r="N110" s="19" t="n">
        <v>11</v>
      </c>
      <c r="O110" s="19" t="n">
        <v>-3</v>
      </c>
      <c r="P110" s="19" t="n">
        <v>-1</v>
      </c>
      <c r="Q110" s="19" t="n">
        <v>0</v>
      </c>
      <c r="R110" s="19" t="n">
        <v>7</v>
      </c>
      <c r="S110" s="19" t="n">
        <v>6</v>
      </c>
      <c r="T110" s="18" t="s">
        <v>125</v>
      </c>
      <c r="U110" s="32"/>
      <c r="V110" s="19" t="str">
        <f aca="false">IF(E110="","",R110-E110)</f>
        <v/>
      </c>
      <c r="W110" s="18" t="s">
        <v>98</v>
      </c>
      <c r="X110" s="4" t="n">
        <f aca="false">IF(AND(D110="Available",R110&gt;=55),ROW(),9999)</f>
        <v>9999</v>
      </c>
      <c r="Y110" s="4" t="n">
        <f aca="false">IF(AND(D110="Available",R110&gt;=40,R110&lt;55),ROW(),9999)</f>
        <v>9999</v>
      </c>
      <c r="Z110" s="4" t="n">
        <f aca="false">IF(AND(D110="Available",R110&gt;=25,R110&lt;40),ROW(),9999)</f>
        <v>9999</v>
      </c>
      <c r="AA110" s="35" t="n">
        <f aca="false">IF(K110="","",IF(L110="",K110,ROUND(AVERAGE(K110,L110),0)))</f>
        <v>173</v>
      </c>
    </row>
    <row r="111" customFormat="false" ht="15" hidden="false" customHeight="false" outlineLevel="0" collapsed="false">
      <c r="A111" s="18" t="s">
        <v>253</v>
      </c>
      <c r="B111" s="19" t="n">
        <f aca="false">R111-N111</f>
        <v>-3</v>
      </c>
      <c r="C111" s="18" t="str">
        <f aca="false">IF(B111&gt;=5,"SMASH BUY",IF(B111&gt;=2,"BUY",IF(B111&gt;=-1,"NEUTRAL",IF(B111&gt;=-4,"AVOID","DO NOT BID"))))</f>
        <v>AVOID</v>
      </c>
      <c r="D111" s="18" t="str">
        <f aca="false">IF(COUNTIFS('Auction Log'!$B$5:$B$304,A111,'Auction Log'!$D$5:$D$304,"&lt;&gt;",'Auction Log'!$E$5:$E$304,"&gt;0")=0,"Available",IFERROR(INDEX('Auction Log'!$D$5:$D$304,MATCH(1,('Auction Log'!$B$5:$B$304=A111)*('Auction Log'!$D$5:$D$304&lt;&gt;"")*('Auction Log'!$E$5:$E$304&gt;0),0)),"SOLD"))</f>
        <v>Available</v>
      </c>
      <c r="E111" s="19" t="str">
        <f aca="false">IF(COUNTIFS('Auction Log'!$B$5:$B$304,A111,'Auction Log'!$D$5:$D$304,"&lt;&gt;",'Auction Log'!$E$5:$E$304,"&gt;0")=0,"",IFERROR(INDEX('Auction Log'!$E$5:$E$304,MATCH(1,('Auction Log'!$B$5:$B$304=A111)*('Auction Log'!$D$5:$D$304&lt;&gt;"")*('Auction Log'!$E$5:$E$304&gt;0),0)),""))</f>
        <v/>
      </c>
      <c r="F111" s="18" t="s">
        <v>118</v>
      </c>
      <c r="G111" s="18" t="s">
        <v>26</v>
      </c>
      <c r="H111" s="18" t="n">
        <v>6</v>
      </c>
      <c r="I111" s="18" t="n">
        <v>106</v>
      </c>
      <c r="J111" s="18" t="n">
        <v>8</v>
      </c>
      <c r="K111" s="36" t="n">
        <v>169</v>
      </c>
      <c r="L111" s="36" t="n">
        <v>170</v>
      </c>
      <c r="M111" s="19" t="n">
        <v>3</v>
      </c>
      <c r="N111" s="19" t="n">
        <v>10</v>
      </c>
      <c r="O111" s="19" t="n">
        <v>-3</v>
      </c>
      <c r="P111" s="19" t="n">
        <v>0</v>
      </c>
      <c r="Q111" s="19" t="n">
        <v>0</v>
      </c>
      <c r="R111" s="19" t="n">
        <v>7</v>
      </c>
      <c r="S111" s="19" t="n">
        <v>6</v>
      </c>
      <c r="T111" s="18" t="s">
        <v>125</v>
      </c>
      <c r="U111" s="32"/>
      <c r="V111" s="19" t="str">
        <f aca="false">IF(E111="","",R111-E111)</f>
        <v/>
      </c>
      <c r="W111" s="18" t="s">
        <v>98</v>
      </c>
      <c r="X111" s="4" t="n">
        <f aca="false">IF(AND(D111="Available",R111&gt;=55),ROW(),9999)</f>
        <v>9999</v>
      </c>
      <c r="Y111" s="4" t="n">
        <f aca="false">IF(AND(D111="Available",R111&gt;=40,R111&lt;55),ROW(),9999)</f>
        <v>9999</v>
      </c>
      <c r="Z111" s="4" t="n">
        <f aca="false">IF(AND(D111="Available",R111&gt;=25,R111&lt;40),ROW(),9999)</f>
        <v>9999</v>
      </c>
      <c r="AA111" s="35" t="n">
        <f aca="false">IF(K111="","",IF(L111="",K111,ROUND(AVERAGE(K111,L111),0)))</f>
        <v>170</v>
      </c>
    </row>
    <row r="112" customFormat="false" ht="28.5" hidden="false" customHeight="true" outlineLevel="0" collapsed="false">
      <c r="A112" s="18" t="s">
        <v>254</v>
      </c>
      <c r="B112" s="19" t="n">
        <f aca="false">R112-N112</f>
        <v>-3</v>
      </c>
      <c r="C112" s="18" t="str">
        <f aca="false">IF(B112&gt;=5,"SMASH BUY",IF(B112&gt;=2,"BUY",IF(B112&gt;=-1,"NEUTRAL",IF(B112&gt;=-4,"AVOID","DO NOT BID"))))</f>
        <v>AVOID</v>
      </c>
      <c r="D112" s="18" t="str">
        <f aca="false">IF(COUNTIFS('Auction Log'!$B$5:$B$304,A112,'Auction Log'!$D$5:$D$304,"&lt;&gt;",'Auction Log'!$E$5:$E$304,"&gt;0")=0,"Available",IFERROR(INDEX('Auction Log'!$D$5:$D$304,MATCH(1,('Auction Log'!$B$5:$B$304=A112)*('Auction Log'!$D$5:$D$304&lt;&gt;"")*('Auction Log'!$E$5:$E$304&gt;0),0)),"SOLD"))</f>
        <v>Available</v>
      </c>
      <c r="E112" s="19" t="str">
        <f aca="false">IF(COUNTIFS('Auction Log'!$B$5:$B$304,A112,'Auction Log'!$D$5:$D$304,"&lt;&gt;",'Auction Log'!$E$5:$E$304,"&gt;0")=0,"",IFERROR(INDEX('Auction Log'!$E$5:$E$304,MATCH(1,('Auction Log'!$B$5:$B$304=A112)*('Auction Log'!$D$5:$D$304&lt;&gt;"")*('Auction Log'!$E$5:$E$304&gt;0),0)),""))</f>
        <v/>
      </c>
      <c r="F112" s="18" t="s">
        <v>177</v>
      </c>
      <c r="G112" s="18" t="s">
        <v>21</v>
      </c>
      <c r="H112" s="18" t="n">
        <v>7</v>
      </c>
      <c r="I112" s="18" t="n">
        <v>108</v>
      </c>
      <c r="J112" s="18" t="n">
        <v>8</v>
      </c>
      <c r="K112" s="36" t="n">
        <v>161</v>
      </c>
      <c r="L112" s="36" t="n">
        <v>165</v>
      </c>
      <c r="M112" s="19" t="n">
        <v>2</v>
      </c>
      <c r="N112" s="19" t="n">
        <v>10</v>
      </c>
      <c r="O112" s="19" t="n">
        <v>-3</v>
      </c>
      <c r="P112" s="19" t="n">
        <v>0</v>
      </c>
      <c r="Q112" s="19" t="n">
        <v>0</v>
      </c>
      <c r="R112" s="19" t="n">
        <v>7</v>
      </c>
      <c r="S112" s="19" t="n">
        <v>6</v>
      </c>
      <c r="T112" s="18" t="s">
        <v>125</v>
      </c>
      <c r="U112" s="32" t="s">
        <v>255</v>
      </c>
      <c r="V112" s="19" t="str">
        <f aca="false">IF(E112="","",R112-E112)</f>
        <v/>
      </c>
      <c r="W112" s="18" t="s">
        <v>98</v>
      </c>
      <c r="X112" s="4" t="n">
        <f aca="false">IF(AND(D112="Available",R112&gt;=55),ROW(),9999)</f>
        <v>9999</v>
      </c>
      <c r="Y112" s="4" t="n">
        <f aca="false">IF(AND(D112="Available",R112&gt;=40,R112&lt;55),ROW(),9999)</f>
        <v>9999</v>
      </c>
      <c r="Z112" s="4" t="n">
        <f aca="false">IF(AND(D112="Available",R112&gt;=25,R112&lt;40),ROW(),9999)</f>
        <v>9999</v>
      </c>
      <c r="AA112" s="35" t="n">
        <f aca="false">IF(K112="","",IF(L112="",K112,ROUND(AVERAGE(K112,L112),0)))</f>
        <v>163</v>
      </c>
    </row>
    <row r="113" customFormat="false" ht="15" hidden="false" customHeight="false" outlineLevel="0" collapsed="false">
      <c r="A113" s="18" t="s">
        <v>256</v>
      </c>
      <c r="B113" s="19" t="n">
        <f aca="false">R113-N113</f>
        <v>1</v>
      </c>
      <c r="C113" s="18" t="str">
        <f aca="false">IF(B113&gt;=5,"SMASH BUY",IF(B113&gt;=2,"BUY",IF(B113&gt;=-1,"NEUTRAL",IF(B113&gt;=-4,"AVOID","DO NOT BID"))))</f>
        <v>NEUTRAL</v>
      </c>
      <c r="D113" s="18" t="str">
        <f aca="false">IF(COUNTIFS('Auction Log'!$B$5:$B$304,A113,'Auction Log'!$D$5:$D$304,"&lt;&gt;",'Auction Log'!$E$5:$E$304,"&gt;0")=0,"Available",IFERROR(INDEX('Auction Log'!$D$5:$D$304,MATCH(1,('Auction Log'!$B$5:$B$304=A113)*('Auction Log'!$D$5:$D$304&lt;&gt;"")*('Auction Log'!$E$5:$E$304&gt;0),0)),"SOLD"))</f>
        <v>Available</v>
      </c>
      <c r="E113" s="19" t="str">
        <f aca="false">IF(COUNTIFS('Auction Log'!$B$5:$B$304,A113,'Auction Log'!$D$5:$D$304,"&lt;&gt;",'Auction Log'!$E$5:$E$304,"&gt;0")=0,"",IFERROR(INDEX('Auction Log'!$E$5:$E$304,MATCH(1,('Auction Log'!$B$5:$B$304=A113)*('Auction Log'!$D$5:$D$304&lt;&gt;"")*('Auction Log'!$E$5:$E$304&gt;0),0)),""))</f>
        <v/>
      </c>
      <c r="F113" s="18" t="s">
        <v>138</v>
      </c>
      <c r="G113" s="18" t="s">
        <v>26</v>
      </c>
      <c r="H113" s="18" t="n">
        <v>10</v>
      </c>
      <c r="I113" s="18" t="n">
        <v>109</v>
      </c>
      <c r="J113" s="18" t="n">
        <v>8</v>
      </c>
      <c r="K113" s="36" t="n">
        <v>151</v>
      </c>
      <c r="L113" s="36" t="n">
        <v>155</v>
      </c>
      <c r="M113" s="19" t="n">
        <v>1</v>
      </c>
      <c r="N113" s="19" t="n">
        <v>6</v>
      </c>
      <c r="O113" s="19" t="n">
        <v>1</v>
      </c>
      <c r="P113" s="19" t="n">
        <v>0</v>
      </c>
      <c r="Q113" s="19" t="n">
        <v>0</v>
      </c>
      <c r="R113" s="19" t="n">
        <v>7</v>
      </c>
      <c r="S113" s="19" t="n">
        <v>6</v>
      </c>
      <c r="T113" s="18" t="s">
        <v>125</v>
      </c>
      <c r="U113" s="32"/>
      <c r="V113" s="19" t="str">
        <f aca="false">IF(E113="","",R113-E113)</f>
        <v/>
      </c>
      <c r="W113" s="18" t="s">
        <v>98</v>
      </c>
      <c r="X113" s="4" t="n">
        <f aca="false">IF(AND(D113="Available",R113&gt;=55),ROW(),9999)</f>
        <v>9999</v>
      </c>
      <c r="Y113" s="4" t="n">
        <f aca="false">IF(AND(D113="Available",R113&gt;=40,R113&lt;55),ROW(),9999)</f>
        <v>9999</v>
      </c>
      <c r="Z113" s="4" t="n">
        <f aca="false">IF(AND(D113="Available",R113&gt;=25,R113&lt;40),ROW(),9999)</f>
        <v>9999</v>
      </c>
      <c r="AA113" s="35" t="n">
        <f aca="false">IF(K113="","",IF(L113="",K113,ROUND(AVERAGE(K113,L113),0)))</f>
        <v>153</v>
      </c>
    </row>
    <row r="114" customFormat="false" ht="15" hidden="false" customHeight="false" outlineLevel="0" collapsed="false">
      <c r="A114" s="18" t="s">
        <v>257</v>
      </c>
      <c r="B114" s="19" t="n">
        <f aca="false">R114-N114</f>
        <v>1</v>
      </c>
      <c r="C114" s="18" t="str">
        <f aca="false">IF(B114&gt;=5,"SMASH BUY",IF(B114&gt;=2,"BUY",IF(B114&gt;=-1,"NEUTRAL",IF(B114&gt;=-4,"AVOID","DO NOT BID"))))</f>
        <v>NEUTRAL</v>
      </c>
      <c r="D114" s="18" t="str">
        <f aca="false">IF(COUNTIFS('Auction Log'!$B$5:$B$304,A114,'Auction Log'!$D$5:$D$304,"&lt;&gt;",'Auction Log'!$E$5:$E$304,"&gt;0")=0,"Available",IFERROR(INDEX('Auction Log'!$D$5:$D$304,MATCH(1,('Auction Log'!$B$5:$B$304=A114)*('Auction Log'!$D$5:$D$304&lt;&gt;"")*('Auction Log'!$E$5:$E$304&gt;0),0)),"SOLD"))</f>
        <v>Available</v>
      </c>
      <c r="E114" s="19" t="str">
        <f aca="false">IF(COUNTIFS('Auction Log'!$B$5:$B$304,A114,'Auction Log'!$D$5:$D$304,"&lt;&gt;",'Auction Log'!$E$5:$E$304,"&gt;0")=0,"",IFERROR(INDEX('Auction Log'!$E$5:$E$304,MATCH(1,('Auction Log'!$B$5:$B$304=A114)*('Auction Log'!$D$5:$D$304&lt;&gt;"")*('Auction Log'!$E$5:$E$304&gt;0),0)),""))</f>
        <v/>
      </c>
      <c r="F114" s="18" t="s">
        <v>106</v>
      </c>
      <c r="G114" s="18" t="s">
        <v>21</v>
      </c>
      <c r="H114" s="18" t="n">
        <v>11</v>
      </c>
      <c r="I114" s="18" t="n">
        <v>110</v>
      </c>
      <c r="J114" s="18" t="n">
        <v>8</v>
      </c>
      <c r="K114" s="36" t="n">
        <v>137</v>
      </c>
      <c r="L114" s="36" t="n">
        <v>159</v>
      </c>
      <c r="M114" s="19" t="n">
        <v>1</v>
      </c>
      <c r="N114" s="19" t="n">
        <v>6</v>
      </c>
      <c r="O114" s="19" t="n">
        <v>1</v>
      </c>
      <c r="P114" s="19" t="n">
        <v>0</v>
      </c>
      <c r="Q114" s="19" t="n">
        <v>0</v>
      </c>
      <c r="R114" s="19" t="n">
        <v>7</v>
      </c>
      <c r="S114" s="19" t="n">
        <v>6</v>
      </c>
      <c r="T114" s="18" t="s">
        <v>125</v>
      </c>
      <c r="U114" s="32"/>
      <c r="V114" s="19" t="str">
        <f aca="false">IF(E114="","",R114-E114)</f>
        <v/>
      </c>
      <c r="W114" s="18" t="s">
        <v>98</v>
      </c>
      <c r="X114" s="4" t="n">
        <f aca="false">IF(AND(D114="Available",R114&gt;=55),ROW(),9999)</f>
        <v>9999</v>
      </c>
      <c r="Y114" s="4" t="n">
        <f aca="false">IF(AND(D114="Available",R114&gt;=40,R114&lt;55),ROW(),9999)</f>
        <v>9999</v>
      </c>
      <c r="Z114" s="4" t="n">
        <f aca="false">IF(AND(D114="Available",R114&gt;=25,R114&lt;40),ROW(),9999)</f>
        <v>9999</v>
      </c>
      <c r="AA114" s="35" t="n">
        <f aca="false">IF(K114="","",IF(L114="",K114,ROUND(AVERAGE(K114,L114),0)))</f>
        <v>148</v>
      </c>
    </row>
    <row r="115" customFormat="false" ht="15" hidden="false" customHeight="false" outlineLevel="0" collapsed="false">
      <c r="A115" s="18" t="s">
        <v>258</v>
      </c>
      <c r="B115" s="19" t="n">
        <f aca="false">R115-N115</f>
        <v>1</v>
      </c>
      <c r="C115" s="18" t="str">
        <f aca="false">IF(B115&gt;=5,"SMASH BUY",IF(B115&gt;=2,"BUY",IF(B115&gt;=-1,"NEUTRAL",IF(B115&gt;=-4,"AVOID","DO NOT BID"))))</f>
        <v>NEUTRAL</v>
      </c>
      <c r="D115" s="18" t="str">
        <f aca="false">IF(COUNTIFS('Auction Log'!$B$5:$B$304,A115,'Auction Log'!$D$5:$D$304,"&lt;&gt;",'Auction Log'!$E$5:$E$304,"&gt;0")=0,"Available",IFERROR(INDEX('Auction Log'!$D$5:$D$304,MATCH(1,('Auction Log'!$B$5:$B$304=A115)*('Auction Log'!$D$5:$D$304&lt;&gt;"")*('Auction Log'!$E$5:$E$304&gt;0),0)),"SOLD"))</f>
        <v>Available</v>
      </c>
      <c r="E115" s="19" t="str">
        <f aca="false">IF(COUNTIFS('Auction Log'!$B$5:$B$304,A115,'Auction Log'!$D$5:$D$304,"&lt;&gt;",'Auction Log'!$E$5:$E$304,"&gt;0")=0,"",IFERROR(INDEX('Auction Log'!$E$5:$E$304,MATCH(1,('Auction Log'!$B$5:$B$304=A115)*('Auction Log'!$D$5:$D$304&lt;&gt;"")*('Auction Log'!$E$5:$E$304&gt;0),0)),""))</f>
        <v/>
      </c>
      <c r="F115" s="18" t="s">
        <v>122</v>
      </c>
      <c r="G115" s="18" t="s">
        <v>30</v>
      </c>
      <c r="H115" s="18" t="n">
        <v>7</v>
      </c>
      <c r="I115" s="18" t="n">
        <v>111</v>
      </c>
      <c r="J115" s="18" t="n">
        <v>8</v>
      </c>
      <c r="K115" s="36" t="n">
        <v>160</v>
      </c>
      <c r="L115" s="36" t="n">
        <v>155</v>
      </c>
      <c r="M115" s="19" t="n">
        <v>2</v>
      </c>
      <c r="N115" s="19" t="n">
        <v>6</v>
      </c>
      <c r="O115" s="19" t="n">
        <v>1</v>
      </c>
      <c r="P115" s="19" t="n">
        <v>0</v>
      </c>
      <c r="Q115" s="19" t="n">
        <v>0</v>
      </c>
      <c r="R115" s="19" t="n">
        <v>7</v>
      </c>
      <c r="S115" s="19" t="n">
        <v>6</v>
      </c>
      <c r="T115" s="18" t="s">
        <v>125</v>
      </c>
      <c r="U115" s="32"/>
      <c r="V115" s="19" t="str">
        <f aca="false">IF(E115="","",R115-E115)</f>
        <v/>
      </c>
      <c r="W115" s="18" t="s">
        <v>98</v>
      </c>
      <c r="X115" s="4" t="n">
        <f aca="false">IF(AND(D115="Available",R115&gt;=55),ROW(),9999)</f>
        <v>9999</v>
      </c>
      <c r="Y115" s="4" t="n">
        <f aca="false">IF(AND(D115="Available",R115&gt;=40,R115&lt;55),ROW(),9999)</f>
        <v>9999</v>
      </c>
      <c r="Z115" s="4" t="n">
        <f aca="false">IF(AND(D115="Available",R115&gt;=25,R115&lt;40),ROW(),9999)</f>
        <v>9999</v>
      </c>
      <c r="AA115" s="35" t="n">
        <f aca="false">IF(K115="","",IF(L115="",K115,ROUND(AVERAGE(K115,L115),0)))</f>
        <v>158</v>
      </c>
    </row>
    <row r="116" customFormat="false" ht="15" hidden="false" customHeight="false" outlineLevel="0" collapsed="false">
      <c r="A116" s="18" t="s">
        <v>259</v>
      </c>
      <c r="B116" s="19" t="n">
        <f aca="false">R116-N116</f>
        <v>-3</v>
      </c>
      <c r="C116" s="18" t="str">
        <f aca="false">IF(B116&gt;=5,"SMASH BUY",IF(B116&gt;=2,"BUY",IF(B116&gt;=-1,"NEUTRAL",IF(B116&gt;=-4,"AVOID","DO NOT BID"))))</f>
        <v>AVOID</v>
      </c>
      <c r="D116" s="18" t="str">
        <f aca="false">IF(COUNTIFS('Auction Log'!$B$5:$B$304,A116,'Auction Log'!$D$5:$D$304,"&lt;&gt;",'Auction Log'!$E$5:$E$304,"&gt;0")=0,"Available",IFERROR(INDEX('Auction Log'!$D$5:$D$304,MATCH(1,('Auction Log'!$B$5:$B$304=A116)*('Auction Log'!$D$5:$D$304&lt;&gt;"")*('Auction Log'!$E$5:$E$304&gt;0),0)),"SOLD"))</f>
        <v>Available</v>
      </c>
      <c r="E116" s="19" t="str">
        <f aca="false">IF(COUNTIFS('Auction Log'!$B$5:$B$304,A116,'Auction Log'!$D$5:$D$304,"&lt;&gt;",'Auction Log'!$E$5:$E$304,"&gt;0")=0,"",IFERROR(INDEX('Auction Log'!$E$5:$E$304,MATCH(1,('Auction Log'!$B$5:$B$304=A116)*('Auction Log'!$D$5:$D$304&lt;&gt;"")*('Auction Log'!$E$5:$E$304&gt;0),0)),""))</f>
        <v/>
      </c>
      <c r="F116" s="18" t="s">
        <v>118</v>
      </c>
      <c r="G116" s="18" t="s">
        <v>21</v>
      </c>
      <c r="H116" s="18" t="n">
        <v>6</v>
      </c>
      <c r="I116" s="18" t="n">
        <v>112</v>
      </c>
      <c r="J116" s="18" t="n">
        <v>8</v>
      </c>
      <c r="K116" s="36" t="n">
        <v>161</v>
      </c>
      <c r="L116" s="36" t="n">
        <v>177</v>
      </c>
      <c r="M116" s="19" t="n">
        <v>2</v>
      </c>
      <c r="N116" s="19" t="n">
        <v>10</v>
      </c>
      <c r="O116" s="19" t="n">
        <v>-3</v>
      </c>
      <c r="P116" s="19" t="n">
        <v>0</v>
      </c>
      <c r="Q116" s="19" t="n">
        <v>0</v>
      </c>
      <c r="R116" s="19" t="n">
        <v>7</v>
      </c>
      <c r="S116" s="19" t="n">
        <v>6</v>
      </c>
      <c r="T116" s="18" t="s">
        <v>125</v>
      </c>
      <c r="U116" s="32"/>
      <c r="V116" s="19" t="str">
        <f aca="false">IF(E116="","",R116-E116)</f>
        <v/>
      </c>
      <c r="W116" s="18" t="s">
        <v>98</v>
      </c>
      <c r="X116" s="4" t="n">
        <f aca="false">IF(AND(D116="Available",R116&gt;=55),ROW(),9999)</f>
        <v>9999</v>
      </c>
      <c r="Y116" s="4" t="n">
        <f aca="false">IF(AND(D116="Available",R116&gt;=40,R116&lt;55),ROW(),9999)</f>
        <v>9999</v>
      </c>
      <c r="Z116" s="4" t="n">
        <f aca="false">IF(AND(D116="Available",R116&gt;=25,R116&lt;40),ROW(),9999)</f>
        <v>9999</v>
      </c>
      <c r="AA116" s="35" t="n">
        <f aca="false">IF(K116="","",IF(L116="",K116,ROUND(AVERAGE(K116,L116),0)))</f>
        <v>169</v>
      </c>
    </row>
    <row r="117" customFormat="false" ht="28.5" hidden="false" customHeight="true" outlineLevel="0" collapsed="false">
      <c r="A117" s="18" t="s">
        <v>260</v>
      </c>
      <c r="B117" s="19" t="n">
        <f aca="false">R117-N117</f>
        <v>-1</v>
      </c>
      <c r="C117" s="18" t="str">
        <f aca="false">IF(B117&gt;=5,"SMASH BUY",IF(B117&gt;=2,"BUY",IF(B117&gt;=-1,"NEUTRAL",IF(B117&gt;=-4,"AVOID","DO NOT BID"))))</f>
        <v>NEUTRAL</v>
      </c>
      <c r="D117" s="18" t="str">
        <f aca="false">IF(COUNTIFS('Auction Log'!$B$5:$B$304,A117,'Auction Log'!$D$5:$D$304,"&lt;&gt;",'Auction Log'!$E$5:$E$304,"&gt;0")=0,"Available",IFERROR(INDEX('Auction Log'!$D$5:$D$304,MATCH(1,('Auction Log'!$B$5:$B$304=A117)*('Auction Log'!$D$5:$D$304&lt;&gt;"")*('Auction Log'!$E$5:$E$304&gt;0),0)),"SOLD"))</f>
        <v>Available</v>
      </c>
      <c r="E117" s="19" t="str">
        <f aca="false">IF(COUNTIFS('Auction Log'!$B$5:$B$304,A117,'Auction Log'!$D$5:$D$304,"&lt;&gt;",'Auction Log'!$E$5:$E$304,"&gt;0")=0,"",IFERROR(INDEX('Auction Log'!$E$5:$E$304,MATCH(1,('Auction Log'!$B$5:$B$304=A117)*('Auction Log'!$D$5:$D$304&lt;&gt;"")*('Auction Log'!$E$5:$E$304&gt;0),0)),""))</f>
        <v/>
      </c>
      <c r="F117" s="18" t="s">
        <v>177</v>
      </c>
      <c r="G117" s="18" t="s">
        <v>21</v>
      </c>
      <c r="H117" s="18" t="n">
        <v>7</v>
      </c>
      <c r="I117" s="18" t="n">
        <v>114</v>
      </c>
      <c r="J117" s="18" t="n">
        <v>8</v>
      </c>
      <c r="K117" s="36" t="n">
        <v>147</v>
      </c>
      <c r="L117" s="36" t="n">
        <v>159</v>
      </c>
      <c r="M117" s="19" t="n">
        <v>2</v>
      </c>
      <c r="N117" s="19" t="n">
        <v>8</v>
      </c>
      <c r="O117" s="19" t="n">
        <v>-1</v>
      </c>
      <c r="P117" s="19" t="n">
        <v>0</v>
      </c>
      <c r="Q117" s="19" t="n">
        <v>0</v>
      </c>
      <c r="R117" s="19" t="n">
        <v>7</v>
      </c>
      <c r="S117" s="19" t="n">
        <v>6</v>
      </c>
      <c r="T117" s="18" t="s">
        <v>125</v>
      </c>
      <c r="U117" s="32" t="s">
        <v>261</v>
      </c>
      <c r="V117" s="19" t="str">
        <f aca="false">IF(E117="","",R117-E117)</f>
        <v/>
      </c>
      <c r="W117" s="18" t="s">
        <v>98</v>
      </c>
      <c r="X117" s="4" t="n">
        <f aca="false">IF(AND(D117="Available",R117&gt;=55),ROW(),9999)</f>
        <v>9999</v>
      </c>
      <c r="Y117" s="4" t="n">
        <f aca="false">IF(AND(D117="Available",R117&gt;=40,R117&lt;55),ROW(),9999)</f>
        <v>9999</v>
      </c>
      <c r="Z117" s="4" t="n">
        <f aca="false">IF(AND(D117="Available",R117&gt;=25,R117&lt;40),ROW(),9999)</f>
        <v>9999</v>
      </c>
      <c r="AA117" s="35" t="n">
        <f aca="false">IF(K117="","",IF(L117="",K117,ROUND(AVERAGE(K117,L117),0)))</f>
        <v>153</v>
      </c>
    </row>
    <row r="118" customFormat="false" ht="15" hidden="false" customHeight="false" outlineLevel="0" collapsed="false">
      <c r="A118" s="18" t="s">
        <v>262</v>
      </c>
      <c r="B118" s="19" t="n">
        <f aca="false">R118-N118</f>
        <v>-1</v>
      </c>
      <c r="C118" s="18" t="str">
        <f aca="false">IF(B118&gt;=5,"SMASH BUY",IF(B118&gt;=2,"BUY",IF(B118&gt;=-1,"NEUTRAL",IF(B118&gt;=-4,"AVOID","DO NOT BID"))))</f>
        <v>NEUTRAL</v>
      </c>
      <c r="D118" s="18" t="str">
        <f aca="false">IF(COUNTIFS('Auction Log'!$B$5:$B$304,A118,'Auction Log'!$D$5:$D$304,"&lt;&gt;",'Auction Log'!$E$5:$E$304,"&gt;0")=0,"Available",IFERROR(INDEX('Auction Log'!$D$5:$D$304,MATCH(1,('Auction Log'!$B$5:$B$304=A118)*('Auction Log'!$D$5:$D$304&lt;&gt;"")*('Auction Log'!$E$5:$E$304&gt;0),0)),"SOLD"))</f>
        <v>Available</v>
      </c>
      <c r="E118" s="19" t="str">
        <f aca="false">IF(COUNTIFS('Auction Log'!$B$5:$B$304,A118,'Auction Log'!$D$5:$D$304,"&lt;&gt;",'Auction Log'!$E$5:$E$304,"&gt;0")=0,"",IFERROR(INDEX('Auction Log'!$E$5:$E$304,MATCH(1,('Auction Log'!$B$5:$B$304=A118)*('Auction Log'!$D$5:$D$304&lt;&gt;"")*('Auction Log'!$E$5:$E$304&gt;0),0)),""))</f>
        <v/>
      </c>
      <c r="F118" s="18" t="s">
        <v>115</v>
      </c>
      <c r="G118" s="18" t="s">
        <v>30</v>
      </c>
      <c r="H118" s="18" t="n">
        <v>14</v>
      </c>
      <c r="I118" s="18" t="n">
        <v>116</v>
      </c>
      <c r="J118" s="18" t="n">
        <v>8</v>
      </c>
      <c r="K118" s="36" t="n">
        <v>167</v>
      </c>
      <c r="L118" s="36" t="n">
        <v>166</v>
      </c>
      <c r="M118" s="19" t="n">
        <v>2</v>
      </c>
      <c r="N118" s="19" t="n">
        <v>8</v>
      </c>
      <c r="O118" s="19" t="n">
        <v>-1</v>
      </c>
      <c r="P118" s="19" t="n">
        <v>0</v>
      </c>
      <c r="Q118" s="19" t="n">
        <v>0</v>
      </c>
      <c r="R118" s="19" t="n">
        <v>7</v>
      </c>
      <c r="S118" s="19" t="n">
        <v>6</v>
      </c>
      <c r="T118" s="18" t="s">
        <v>125</v>
      </c>
      <c r="U118" s="32"/>
      <c r="V118" s="19" t="str">
        <f aca="false">IF(E118="","",R118-E118)</f>
        <v/>
      </c>
      <c r="W118" s="18" t="s">
        <v>98</v>
      </c>
      <c r="X118" s="4" t="n">
        <f aca="false">IF(AND(D118="Available",R118&gt;=55),ROW(),9999)</f>
        <v>9999</v>
      </c>
      <c r="Y118" s="4" t="n">
        <f aca="false">IF(AND(D118="Available",R118&gt;=40,R118&lt;55),ROW(),9999)</f>
        <v>9999</v>
      </c>
      <c r="Z118" s="4" t="n">
        <f aca="false">IF(AND(D118="Available",R118&gt;=25,R118&lt;40),ROW(),9999)</f>
        <v>9999</v>
      </c>
      <c r="AA118" s="35" t="n">
        <f aca="false">IF(K118="","",IF(L118="",K118,ROUND(AVERAGE(K118,L118),0)))</f>
        <v>167</v>
      </c>
    </row>
    <row r="119" customFormat="false" ht="15" hidden="false" customHeight="false" outlineLevel="0" collapsed="false">
      <c r="A119" s="18" t="s">
        <v>263</v>
      </c>
      <c r="B119" s="19" t="n">
        <f aca="false">R119-N119</f>
        <v>-4</v>
      </c>
      <c r="C119" s="18" t="str">
        <f aca="false">IF(B119&gt;=5,"SMASH BUY",IF(B119&gt;=2,"BUY",IF(B119&gt;=-1,"NEUTRAL",IF(B119&gt;=-4,"AVOID","DO NOT BID"))))</f>
        <v>AVOID</v>
      </c>
      <c r="D119" s="18" t="str">
        <f aca="false">IF(COUNTIFS('Auction Log'!$B$5:$B$304,A119,'Auction Log'!$D$5:$D$304,"&lt;&gt;",'Auction Log'!$E$5:$E$304,"&gt;0")=0,"Available",IFERROR(INDEX('Auction Log'!$D$5:$D$304,MATCH(1,('Auction Log'!$B$5:$B$304=A119)*('Auction Log'!$D$5:$D$304&lt;&gt;"")*('Auction Log'!$E$5:$E$304&gt;0),0)),"SOLD"))</f>
        <v>Available</v>
      </c>
      <c r="E119" s="19" t="str">
        <f aca="false">IF(COUNTIFS('Auction Log'!$B$5:$B$304,A119,'Auction Log'!$D$5:$D$304,"&lt;&gt;",'Auction Log'!$E$5:$E$304,"&gt;0")=0,"",IFERROR(INDEX('Auction Log'!$E$5:$E$304,MATCH(1,('Auction Log'!$B$5:$B$304=A119)*('Auction Log'!$D$5:$D$304&lt;&gt;"")*('Auction Log'!$E$5:$E$304&gt;0),0)),""))</f>
        <v/>
      </c>
      <c r="F119" s="18" t="s">
        <v>138</v>
      </c>
      <c r="G119" s="18" t="s">
        <v>30</v>
      </c>
      <c r="H119" s="18" t="n">
        <v>10</v>
      </c>
      <c r="I119" s="18" t="n">
        <v>118</v>
      </c>
      <c r="J119" s="18" t="n">
        <v>8</v>
      </c>
      <c r="K119" s="36" t="n">
        <v>179</v>
      </c>
      <c r="L119" s="36" t="n">
        <v>177</v>
      </c>
      <c r="M119" s="19" t="n">
        <v>2</v>
      </c>
      <c r="N119" s="19" t="n">
        <v>11</v>
      </c>
      <c r="O119" s="19" t="n">
        <v>-4</v>
      </c>
      <c r="P119" s="19" t="n">
        <v>0</v>
      </c>
      <c r="Q119" s="19" t="n">
        <v>0</v>
      </c>
      <c r="R119" s="19" t="n">
        <v>7</v>
      </c>
      <c r="S119" s="19" t="n">
        <v>6</v>
      </c>
      <c r="T119" s="18" t="s">
        <v>125</v>
      </c>
      <c r="U119" s="32"/>
      <c r="V119" s="19" t="str">
        <f aca="false">IF(E119="","",R119-E119)</f>
        <v/>
      </c>
      <c r="W119" s="18" t="s">
        <v>98</v>
      </c>
      <c r="X119" s="4" t="n">
        <f aca="false">IF(AND(D119="Available",R119&gt;=55),ROW(),9999)</f>
        <v>9999</v>
      </c>
      <c r="Y119" s="4" t="n">
        <f aca="false">IF(AND(D119="Available",R119&gt;=40,R119&lt;55),ROW(),9999)</f>
        <v>9999</v>
      </c>
      <c r="Z119" s="4" t="n">
        <f aca="false">IF(AND(D119="Available",R119&gt;=25,R119&lt;40),ROW(),9999)</f>
        <v>9999</v>
      </c>
      <c r="AA119" s="35" t="n">
        <f aca="false">IF(K119="","",IF(L119="",K119,ROUND(AVERAGE(K119,L119),0)))</f>
        <v>178</v>
      </c>
    </row>
    <row r="120" customFormat="false" ht="15" hidden="false" customHeight="false" outlineLevel="0" collapsed="false">
      <c r="A120" s="18" t="s">
        <v>264</v>
      </c>
      <c r="B120" s="19" t="n">
        <f aca="false">R120-N120</f>
        <v>-1</v>
      </c>
      <c r="C120" s="18" t="str">
        <f aca="false">IF(B120&gt;=5,"SMASH BUY",IF(B120&gt;=2,"BUY",IF(B120&gt;=-1,"NEUTRAL",IF(B120&gt;=-4,"AVOID","DO NOT BID"))))</f>
        <v>NEUTRAL</v>
      </c>
      <c r="D120" s="18" t="str">
        <f aca="false">IF(COUNTIFS('Auction Log'!$B$5:$B$304,A120,'Auction Log'!$D$5:$D$304,"&lt;&gt;",'Auction Log'!$E$5:$E$304,"&gt;0")=0,"Available",IFERROR(INDEX('Auction Log'!$D$5:$D$304,MATCH(1,('Auction Log'!$B$5:$B$304=A120)*('Auction Log'!$D$5:$D$304&lt;&gt;"")*('Auction Log'!$E$5:$E$304&gt;0),0)),"SOLD"))</f>
        <v>Available</v>
      </c>
      <c r="E120" s="19" t="str">
        <f aca="false">IF(COUNTIFS('Auction Log'!$B$5:$B$304,A120,'Auction Log'!$D$5:$D$304,"&lt;&gt;",'Auction Log'!$E$5:$E$304,"&gt;0")=0,"",IFERROR(INDEX('Auction Log'!$E$5:$E$304,MATCH(1,('Auction Log'!$B$5:$B$304=A120)*('Auction Log'!$D$5:$D$304&lt;&gt;"")*('Auction Log'!$E$5:$E$304&gt;0),0)),""))</f>
        <v/>
      </c>
      <c r="F120" s="18" t="s">
        <v>118</v>
      </c>
      <c r="G120" s="18" t="s">
        <v>21</v>
      </c>
      <c r="H120" s="18" t="n">
        <v>6</v>
      </c>
      <c r="I120" s="18" t="n">
        <v>117</v>
      </c>
      <c r="J120" s="18" t="n">
        <v>8</v>
      </c>
      <c r="K120" s="36" t="n">
        <v>145</v>
      </c>
      <c r="L120" s="36" t="n">
        <v>150</v>
      </c>
      <c r="M120" s="19" t="n">
        <v>2</v>
      </c>
      <c r="N120" s="19" t="n">
        <v>7</v>
      </c>
      <c r="O120" s="19" t="n">
        <v>-1</v>
      </c>
      <c r="P120" s="19" t="n">
        <v>0</v>
      </c>
      <c r="Q120" s="19" t="n">
        <v>0</v>
      </c>
      <c r="R120" s="19" t="n">
        <v>6</v>
      </c>
      <c r="S120" s="19" t="n">
        <v>5</v>
      </c>
      <c r="T120" s="18" t="s">
        <v>125</v>
      </c>
      <c r="U120" s="32"/>
      <c r="V120" s="19" t="str">
        <f aca="false">IF(E120="","",R120-E120)</f>
        <v/>
      </c>
      <c r="W120" s="18" t="s">
        <v>98</v>
      </c>
      <c r="X120" s="4" t="n">
        <f aca="false">IF(AND(D120="Available",R120&gt;=55),ROW(),9999)</f>
        <v>9999</v>
      </c>
      <c r="Y120" s="4" t="n">
        <f aca="false">IF(AND(D120="Available",R120&gt;=40,R120&lt;55),ROW(),9999)</f>
        <v>9999</v>
      </c>
      <c r="Z120" s="4" t="n">
        <f aca="false">IF(AND(D120="Available",R120&gt;=25,R120&lt;40),ROW(),9999)</f>
        <v>9999</v>
      </c>
      <c r="AA120" s="35" t="n">
        <f aca="false">IF(K120="","",IF(L120="",K120,ROUND(AVERAGE(K120,L120),0)))</f>
        <v>148</v>
      </c>
    </row>
    <row r="121" customFormat="false" ht="28.5" hidden="false" customHeight="true" outlineLevel="0" collapsed="false">
      <c r="A121" s="18" t="s">
        <v>265</v>
      </c>
      <c r="B121" s="19" t="n">
        <f aca="false">R121-N121</f>
        <v>-3</v>
      </c>
      <c r="C121" s="18" t="str">
        <f aca="false">IF(B121&gt;=5,"SMASH BUY",IF(B121&gt;=2,"BUY",IF(B121&gt;=-1,"NEUTRAL",IF(B121&gt;=-4,"AVOID","DO NOT BID"))))</f>
        <v>AVOID</v>
      </c>
      <c r="D121" s="18" t="str">
        <f aca="false">IF(COUNTIFS('Auction Log'!$B$5:$B$304,A121,'Auction Log'!$D$5:$D$304,"&lt;&gt;",'Auction Log'!$E$5:$E$304,"&gt;0")=0,"Available",IFERROR(INDEX('Auction Log'!$D$5:$D$304,MATCH(1,('Auction Log'!$B$5:$B$304=A121)*('Auction Log'!$D$5:$D$304&lt;&gt;"")*('Auction Log'!$E$5:$E$304&gt;0),0)),"SOLD"))</f>
        <v>Available</v>
      </c>
      <c r="E121" s="19" t="str">
        <f aca="false">IF(COUNTIFS('Auction Log'!$B$5:$B$304,A121,'Auction Log'!$D$5:$D$304,"&lt;&gt;",'Auction Log'!$E$5:$E$304,"&gt;0")=0,"",IFERROR(INDEX('Auction Log'!$E$5:$E$304,MATCH(1,('Auction Log'!$B$5:$B$304=A121)*('Auction Log'!$D$5:$D$304&lt;&gt;"")*('Auction Log'!$E$5:$E$304&gt;0),0)),""))</f>
        <v/>
      </c>
      <c r="F121" s="18" t="s">
        <v>122</v>
      </c>
      <c r="G121" s="18" t="s">
        <v>26</v>
      </c>
      <c r="H121" s="18" t="n">
        <v>7</v>
      </c>
      <c r="I121" s="18" t="n">
        <v>121</v>
      </c>
      <c r="J121" s="18" t="n">
        <v>8</v>
      </c>
      <c r="K121" s="36" t="n">
        <v>165</v>
      </c>
      <c r="L121" s="36" t="n">
        <v>171</v>
      </c>
      <c r="M121" s="19" t="n">
        <v>3</v>
      </c>
      <c r="N121" s="19" t="n">
        <v>9</v>
      </c>
      <c r="O121" s="19" t="n">
        <v>-2</v>
      </c>
      <c r="P121" s="19" t="n">
        <v>-1</v>
      </c>
      <c r="Q121" s="19" t="n">
        <v>0</v>
      </c>
      <c r="R121" s="19" t="n">
        <v>6</v>
      </c>
      <c r="S121" s="19" t="n">
        <v>5</v>
      </c>
      <c r="T121" s="18" t="s">
        <v>125</v>
      </c>
      <c r="U121" s="32" t="s">
        <v>266</v>
      </c>
      <c r="V121" s="19" t="str">
        <f aca="false">IF(E121="","",R121-E121)</f>
        <v/>
      </c>
      <c r="W121" s="18" t="s">
        <v>98</v>
      </c>
      <c r="X121" s="4" t="n">
        <f aca="false">IF(AND(D121="Available",R121&gt;=55),ROW(),9999)</f>
        <v>9999</v>
      </c>
      <c r="Y121" s="4" t="n">
        <f aca="false">IF(AND(D121="Available",R121&gt;=40,R121&lt;55),ROW(),9999)</f>
        <v>9999</v>
      </c>
      <c r="Z121" s="4" t="n">
        <f aca="false">IF(AND(D121="Available",R121&gt;=25,R121&lt;40),ROW(),9999)</f>
        <v>9999</v>
      </c>
      <c r="AA121" s="35" t="n">
        <f aca="false">IF(K121="","",IF(L121="",K121,ROUND(AVERAGE(K121,L121),0)))</f>
        <v>168</v>
      </c>
    </row>
    <row r="122" customFormat="false" ht="15" hidden="false" customHeight="false" outlineLevel="0" collapsed="false">
      <c r="A122" s="18" t="s">
        <v>267</v>
      </c>
      <c r="B122" s="19" t="n">
        <f aca="false">R122-N122</f>
        <v>-1</v>
      </c>
      <c r="C122" s="18" t="str">
        <f aca="false">IF(B122&gt;=5,"SMASH BUY",IF(B122&gt;=2,"BUY",IF(B122&gt;=-1,"NEUTRAL",IF(B122&gt;=-4,"AVOID","DO NOT BID"))))</f>
        <v>NEUTRAL</v>
      </c>
      <c r="D122" s="18" t="str">
        <f aca="false">IF(COUNTIFS('Auction Log'!$B$5:$B$304,A122,'Auction Log'!$D$5:$D$304,"&lt;&gt;",'Auction Log'!$E$5:$E$304,"&gt;0")=0,"Available",IFERROR(INDEX('Auction Log'!$D$5:$D$304,MATCH(1,('Auction Log'!$B$5:$B$304=A122)*('Auction Log'!$D$5:$D$304&lt;&gt;"")*('Auction Log'!$E$5:$E$304&gt;0),0)),"SOLD"))</f>
        <v>Available</v>
      </c>
      <c r="E122" s="19" t="str">
        <f aca="false">IF(COUNTIFS('Auction Log'!$B$5:$B$304,A122,'Auction Log'!$D$5:$D$304,"&lt;&gt;",'Auction Log'!$E$5:$E$304,"&gt;0")=0,"",IFERROR(INDEX('Auction Log'!$E$5:$E$304,MATCH(1,('Auction Log'!$B$5:$B$304=A122)*('Auction Log'!$D$5:$D$304&lt;&gt;"")*('Auction Log'!$E$5:$E$304&gt;0),0)),""))</f>
        <v/>
      </c>
      <c r="F122" s="18" t="s">
        <v>150</v>
      </c>
      <c r="G122" s="18" t="s">
        <v>30</v>
      </c>
      <c r="H122" s="18" t="n">
        <v>8</v>
      </c>
      <c r="I122" s="18" t="n">
        <v>123</v>
      </c>
      <c r="J122" s="18" t="n">
        <v>8</v>
      </c>
      <c r="K122" s="36" t="n">
        <v>165</v>
      </c>
      <c r="L122" s="36" t="n">
        <v>156</v>
      </c>
      <c r="M122" s="19" t="n">
        <v>2</v>
      </c>
      <c r="N122" s="19" t="n">
        <v>7</v>
      </c>
      <c r="O122" s="19" t="n">
        <v>-1</v>
      </c>
      <c r="P122" s="19" t="n">
        <v>0</v>
      </c>
      <c r="Q122" s="19" t="n">
        <v>0</v>
      </c>
      <c r="R122" s="19" t="n">
        <v>6</v>
      </c>
      <c r="S122" s="19" t="n">
        <v>5</v>
      </c>
      <c r="T122" s="18" t="s">
        <v>125</v>
      </c>
      <c r="U122" s="32"/>
      <c r="V122" s="19" t="str">
        <f aca="false">IF(E122="","",R122-E122)</f>
        <v/>
      </c>
      <c r="W122" s="18" t="s">
        <v>98</v>
      </c>
      <c r="X122" s="4" t="n">
        <f aca="false">IF(AND(D122="Available",R122&gt;=55),ROW(),9999)</f>
        <v>9999</v>
      </c>
      <c r="Y122" s="4" t="n">
        <f aca="false">IF(AND(D122="Available",R122&gt;=40,R122&lt;55),ROW(),9999)</f>
        <v>9999</v>
      </c>
      <c r="Z122" s="4" t="n">
        <f aca="false">IF(AND(D122="Available",R122&gt;=25,R122&lt;40),ROW(),9999)</f>
        <v>9999</v>
      </c>
      <c r="AA122" s="35" t="n">
        <f aca="false">IF(K122="","",IF(L122="",K122,ROUND(AVERAGE(K122,L122),0)))</f>
        <v>161</v>
      </c>
    </row>
    <row r="123" customFormat="false" ht="15" hidden="false" customHeight="false" outlineLevel="0" collapsed="false">
      <c r="A123" s="18" t="s">
        <v>268</v>
      </c>
      <c r="B123" s="19" t="n">
        <f aca="false">R123-N123</f>
        <v>-4</v>
      </c>
      <c r="C123" s="18" t="str">
        <f aca="false">IF(B123&gt;=5,"SMASH BUY",IF(B123&gt;=2,"BUY",IF(B123&gt;=-1,"NEUTRAL",IF(B123&gt;=-4,"AVOID","DO NOT BID"))))</f>
        <v>AVOID</v>
      </c>
      <c r="D123" s="18" t="str">
        <f aca="false">IF(COUNTIFS('Auction Log'!$B$5:$B$304,A123,'Auction Log'!$D$5:$D$304,"&lt;&gt;",'Auction Log'!$E$5:$E$304,"&gt;0")=0,"Available",IFERROR(INDEX('Auction Log'!$D$5:$D$304,MATCH(1,('Auction Log'!$B$5:$B$304=A123)*('Auction Log'!$D$5:$D$304&lt;&gt;"")*('Auction Log'!$E$5:$E$304&gt;0),0)),"SOLD"))</f>
        <v>Available</v>
      </c>
      <c r="E123" s="19" t="str">
        <f aca="false">IF(COUNTIFS('Auction Log'!$B$5:$B$304,A123,'Auction Log'!$D$5:$D$304,"&lt;&gt;",'Auction Log'!$E$5:$E$304,"&gt;0")=0,"",IFERROR(INDEX('Auction Log'!$E$5:$E$304,MATCH(1,('Auction Log'!$B$5:$B$304=A123)*('Auction Log'!$D$5:$D$304&lt;&gt;"")*('Auction Log'!$E$5:$E$304&gt;0),0)),""))</f>
        <v/>
      </c>
      <c r="F123" s="18" t="s">
        <v>124</v>
      </c>
      <c r="G123" s="18" t="s">
        <v>26</v>
      </c>
      <c r="H123" s="18" t="n">
        <v>5</v>
      </c>
      <c r="I123" s="18" t="n">
        <v>126</v>
      </c>
      <c r="J123" s="18" t="n">
        <v>8</v>
      </c>
      <c r="K123" s="36" t="n">
        <v>168</v>
      </c>
      <c r="L123" s="36" t="n">
        <v>173</v>
      </c>
      <c r="M123" s="19" t="n">
        <v>3</v>
      </c>
      <c r="N123" s="19" t="n">
        <v>10</v>
      </c>
      <c r="O123" s="19" t="n">
        <v>-4</v>
      </c>
      <c r="P123" s="19" t="n">
        <v>0</v>
      </c>
      <c r="Q123" s="19" t="n">
        <v>0</v>
      </c>
      <c r="R123" s="19" t="n">
        <v>6</v>
      </c>
      <c r="S123" s="19" t="n">
        <v>5</v>
      </c>
      <c r="T123" s="18" t="s">
        <v>125</v>
      </c>
      <c r="U123" s="32" t="s">
        <v>269</v>
      </c>
      <c r="V123" s="19" t="str">
        <f aca="false">IF(E123="","",R123-E123)</f>
        <v/>
      </c>
      <c r="W123" s="18" t="s">
        <v>98</v>
      </c>
      <c r="X123" s="4" t="n">
        <f aca="false">IF(AND(D123="Available",R123&gt;=55),ROW(),9999)</f>
        <v>9999</v>
      </c>
      <c r="Y123" s="4" t="n">
        <f aca="false">IF(AND(D123="Available",R123&gt;=40,R123&lt;55),ROW(),9999)</f>
        <v>9999</v>
      </c>
      <c r="Z123" s="4" t="n">
        <f aca="false">IF(AND(D123="Available",R123&gt;=25,R123&lt;40),ROW(),9999)</f>
        <v>9999</v>
      </c>
      <c r="AA123" s="35" t="n">
        <f aca="false">IF(K123="","",IF(L123="",K123,ROUND(AVERAGE(K123,L123),0)))</f>
        <v>171</v>
      </c>
    </row>
    <row r="124" customFormat="false" ht="15" hidden="false" customHeight="false" outlineLevel="0" collapsed="false">
      <c r="A124" s="18" t="s">
        <v>270</v>
      </c>
      <c r="B124" s="19" t="n">
        <f aca="false">R124-N124</f>
        <v>-3</v>
      </c>
      <c r="C124" s="18" t="str">
        <f aca="false">IF(B124&gt;=5,"SMASH BUY",IF(B124&gt;=2,"BUY",IF(B124&gt;=-1,"NEUTRAL",IF(B124&gt;=-4,"AVOID","DO NOT BID"))))</f>
        <v>AVOID</v>
      </c>
      <c r="D124" s="18" t="str">
        <f aca="false">IF(COUNTIFS('Auction Log'!$B$5:$B$304,A124,'Auction Log'!$D$5:$D$304,"&lt;&gt;",'Auction Log'!$E$5:$E$304,"&gt;0")=0,"Available",IFERROR(INDEX('Auction Log'!$D$5:$D$304,MATCH(1,('Auction Log'!$B$5:$B$304=A124)*('Auction Log'!$D$5:$D$304&lt;&gt;"")*('Auction Log'!$E$5:$E$304&gt;0),0)),"SOLD"))</f>
        <v>Available</v>
      </c>
      <c r="E124" s="19" t="str">
        <f aca="false">IF(COUNTIFS('Auction Log'!$B$5:$B$304,A124,'Auction Log'!$D$5:$D$304,"&lt;&gt;",'Auction Log'!$E$5:$E$304,"&gt;0")=0,"",IFERROR(INDEX('Auction Log'!$E$5:$E$304,MATCH(1,('Auction Log'!$B$5:$B$304=A124)*('Auction Log'!$D$5:$D$304&lt;&gt;"")*('Auction Log'!$E$5:$E$304&gt;0),0)),""))</f>
        <v/>
      </c>
      <c r="F124" s="18" t="s">
        <v>158</v>
      </c>
      <c r="G124" s="18" t="s">
        <v>26</v>
      </c>
      <c r="H124" s="18" t="n">
        <v>11</v>
      </c>
      <c r="I124" s="18" t="n">
        <v>127</v>
      </c>
      <c r="J124" s="18" t="n">
        <v>8</v>
      </c>
      <c r="K124" s="36" t="n">
        <v>161</v>
      </c>
      <c r="L124" s="36" t="n">
        <v>185</v>
      </c>
      <c r="M124" s="19" t="n">
        <v>4</v>
      </c>
      <c r="N124" s="19" t="n">
        <v>9</v>
      </c>
      <c r="O124" s="19" t="n">
        <v>-3</v>
      </c>
      <c r="P124" s="19" t="n">
        <v>0</v>
      </c>
      <c r="Q124" s="19" t="n">
        <v>0</v>
      </c>
      <c r="R124" s="19" t="n">
        <v>6</v>
      </c>
      <c r="S124" s="19" t="n">
        <v>5</v>
      </c>
      <c r="T124" s="18" t="s">
        <v>125</v>
      </c>
      <c r="U124" s="32"/>
      <c r="V124" s="19" t="str">
        <f aca="false">IF(E124="","",R124-E124)</f>
        <v/>
      </c>
      <c r="W124" s="18" t="s">
        <v>98</v>
      </c>
      <c r="X124" s="4" t="n">
        <f aca="false">IF(AND(D124="Available",R124&gt;=55),ROW(),9999)</f>
        <v>9999</v>
      </c>
      <c r="Y124" s="4" t="n">
        <f aca="false">IF(AND(D124="Available",R124&gt;=40,R124&lt;55),ROW(),9999)</f>
        <v>9999</v>
      </c>
      <c r="Z124" s="4" t="n">
        <f aca="false">IF(AND(D124="Available",R124&gt;=25,R124&lt;40),ROW(),9999)</f>
        <v>9999</v>
      </c>
      <c r="AA124" s="35" t="n">
        <f aca="false">IF(K124="","",IF(L124="",K124,ROUND(AVERAGE(K124,L124),0)))</f>
        <v>173</v>
      </c>
    </row>
    <row r="125" customFormat="false" ht="15" hidden="false" customHeight="false" outlineLevel="0" collapsed="false">
      <c r="A125" s="18" t="s">
        <v>271</v>
      </c>
      <c r="B125" s="19" t="n">
        <f aca="false">R125-N125</f>
        <v>-2</v>
      </c>
      <c r="C125" s="18" t="str">
        <f aca="false">IF(B125&gt;=5,"SMASH BUY",IF(B125&gt;=2,"BUY",IF(B125&gt;=-1,"NEUTRAL",IF(B125&gt;=-4,"AVOID","DO NOT BID"))))</f>
        <v>AVOID</v>
      </c>
      <c r="D125" s="18" t="str">
        <f aca="false">IF(COUNTIFS('Auction Log'!$B$5:$B$304,A125,'Auction Log'!$D$5:$D$304,"&lt;&gt;",'Auction Log'!$E$5:$E$304,"&gt;0")=0,"Available",IFERROR(INDEX('Auction Log'!$D$5:$D$304,MATCH(1,('Auction Log'!$B$5:$B$304=A125)*('Auction Log'!$D$5:$D$304&lt;&gt;"")*('Auction Log'!$E$5:$E$304&gt;0),0)),"SOLD"))</f>
        <v>Available</v>
      </c>
      <c r="E125" s="19" t="str">
        <f aca="false">IF(COUNTIFS('Auction Log'!$B$5:$B$304,A125,'Auction Log'!$D$5:$D$304,"&lt;&gt;",'Auction Log'!$E$5:$E$304,"&gt;0")=0,"",IFERROR(INDEX('Auction Log'!$E$5:$E$304,MATCH(1,('Auction Log'!$B$5:$B$304=A125)*('Auction Log'!$D$5:$D$304&lt;&gt;"")*('Auction Log'!$E$5:$E$304&gt;0),0)),""))</f>
        <v/>
      </c>
      <c r="F125" s="18" t="s">
        <v>132</v>
      </c>
      <c r="G125" s="18" t="s">
        <v>30</v>
      </c>
      <c r="H125" s="18" t="n">
        <v>13</v>
      </c>
      <c r="I125" s="18" t="n">
        <v>129</v>
      </c>
      <c r="J125" s="18" t="n">
        <v>8</v>
      </c>
      <c r="K125" s="36" t="n">
        <v>167</v>
      </c>
      <c r="L125" s="36" t="n">
        <v>169</v>
      </c>
      <c r="M125" s="19" t="n">
        <v>2</v>
      </c>
      <c r="N125" s="19" t="n">
        <v>8</v>
      </c>
      <c r="O125" s="19" t="n">
        <v>-2</v>
      </c>
      <c r="P125" s="19" t="n">
        <v>0</v>
      </c>
      <c r="Q125" s="19" t="n">
        <v>0</v>
      </c>
      <c r="R125" s="19" t="n">
        <v>6</v>
      </c>
      <c r="S125" s="19" t="n">
        <v>5</v>
      </c>
      <c r="T125" s="18" t="s">
        <v>125</v>
      </c>
      <c r="U125" s="32"/>
      <c r="V125" s="19" t="str">
        <f aca="false">IF(E125="","",R125-E125)</f>
        <v/>
      </c>
      <c r="W125" s="18" t="s">
        <v>98</v>
      </c>
      <c r="X125" s="4" t="n">
        <f aca="false">IF(AND(D125="Available",R125&gt;=55),ROW(),9999)</f>
        <v>9999</v>
      </c>
      <c r="Y125" s="4" t="n">
        <f aca="false">IF(AND(D125="Available",R125&gt;=40,R125&lt;55),ROW(),9999)</f>
        <v>9999</v>
      </c>
      <c r="Z125" s="4" t="n">
        <f aca="false">IF(AND(D125="Available",R125&gt;=25,R125&lt;40),ROW(),9999)</f>
        <v>9999</v>
      </c>
      <c r="AA125" s="35" t="n">
        <f aca="false">IF(K125="","",IF(L125="",K125,ROUND(AVERAGE(K125,L125),0)))</f>
        <v>168</v>
      </c>
    </row>
    <row r="126" customFormat="false" ht="15" hidden="false" customHeight="false" outlineLevel="0" collapsed="false">
      <c r="A126" s="18" t="s">
        <v>272</v>
      </c>
      <c r="B126" s="19" t="n">
        <f aca="false">R126-N126</f>
        <v>2</v>
      </c>
      <c r="C126" s="18" t="str">
        <f aca="false">IF(B126&gt;=5,"SMASH BUY",IF(B126&gt;=2,"BUY",IF(B126&gt;=-1,"NEUTRAL",IF(B126&gt;=-4,"AVOID","DO NOT BID"))))</f>
        <v>BUY</v>
      </c>
      <c r="D126" s="18" t="str">
        <f aca="false">IF(COUNTIFS('Auction Log'!$B$5:$B$304,A126,'Auction Log'!$D$5:$D$304,"&lt;&gt;",'Auction Log'!$E$5:$E$304,"&gt;0")=0,"Available",IFERROR(INDEX('Auction Log'!$D$5:$D$304,MATCH(1,('Auction Log'!$B$5:$B$304=A126)*('Auction Log'!$D$5:$D$304&lt;&gt;"")*('Auction Log'!$E$5:$E$304&gt;0),0)),"SOLD"))</f>
        <v>Available</v>
      </c>
      <c r="E126" s="19" t="str">
        <f aca="false">IF(COUNTIFS('Auction Log'!$B$5:$B$304,A126,'Auction Log'!$D$5:$D$304,"&lt;&gt;",'Auction Log'!$E$5:$E$304,"&gt;0")=0,"",IFERROR(INDEX('Auction Log'!$E$5:$E$304,MATCH(1,('Auction Log'!$B$5:$B$304=A126)*('Auction Log'!$D$5:$D$304&lt;&gt;"")*('Auction Log'!$E$5:$E$304&gt;0),0)),""))</f>
        <v/>
      </c>
      <c r="F126" s="18" t="s">
        <v>118</v>
      </c>
      <c r="G126" s="18" t="s">
        <v>16</v>
      </c>
      <c r="H126" s="18" t="n">
        <v>6</v>
      </c>
      <c r="I126" s="18" t="n">
        <v>113</v>
      </c>
      <c r="J126" s="18" t="n">
        <v>8</v>
      </c>
      <c r="K126" s="36" t="n">
        <v>280</v>
      </c>
      <c r="L126" s="36" t="n">
        <v>250</v>
      </c>
      <c r="M126" s="19" t="n">
        <v>1</v>
      </c>
      <c r="N126" s="19" t="n">
        <v>3</v>
      </c>
      <c r="O126" s="19" t="n">
        <v>4</v>
      </c>
      <c r="P126" s="19" t="n">
        <v>-2</v>
      </c>
      <c r="Q126" s="19" t="n">
        <v>0</v>
      </c>
      <c r="R126" s="19" t="n">
        <v>5</v>
      </c>
      <c r="S126" s="19" t="n">
        <v>4</v>
      </c>
      <c r="T126" s="18" t="s">
        <v>125</v>
      </c>
      <c r="U126" s="32"/>
      <c r="V126" s="19" t="str">
        <f aca="false">IF(E126="","",R126-E126)</f>
        <v/>
      </c>
      <c r="W126" s="18" t="s">
        <v>98</v>
      </c>
      <c r="X126" s="4" t="n">
        <f aca="false">IF(AND(D126="Available",R126&gt;=55),ROW(),9999)</f>
        <v>9999</v>
      </c>
      <c r="Y126" s="4" t="n">
        <f aca="false">IF(AND(D126="Available",R126&gt;=40,R126&lt;55),ROW(),9999)</f>
        <v>9999</v>
      </c>
      <c r="Z126" s="4" t="n">
        <f aca="false">IF(AND(D126="Available",R126&gt;=25,R126&lt;40),ROW(),9999)</f>
        <v>9999</v>
      </c>
      <c r="AA126" s="35" t="n">
        <f aca="false">IF(K126="","",IF(L126="",K126,ROUND(AVERAGE(K126,L126),0)))</f>
        <v>265</v>
      </c>
    </row>
    <row r="127" customFormat="false" ht="15" hidden="false" customHeight="false" outlineLevel="0" collapsed="false">
      <c r="A127" s="18" t="s">
        <v>273</v>
      </c>
      <c r="B127" s="19" t="n">
        <f aca="false">R127-N127</f>
        <v>-4</v>
      </c>
      <c r="C127" s="18" t="str">
        <f aca="false">IF(B127&gt;=5,"SMASH BUY",IF(B127&gt;=2,"BUY",IF(B127&gt;=-1,"NEUTRAL",IF(B127&gt;=-4,"AVOID","DO NOT BID"))))</f>
        <v>AVOID</v>
      </c>
      <c r="D127" s="18" t="str">
        <f aca="false">IF(COUNTIFS('Auction Log'!$B$5:$B$304,A127,'Auction Log'!$D$5:$D$304,"&lt;&gt;",'Auction Log'!$E$5:$E$304,"&gt;0")=0,"Available",IFERROR(INDEX('Auction Log'!$D$5:$D$304,MATCH(1,('Auction Log'!$B$5:$B$304=A127)*('Auction Log'!$D$5:$D$304&lt;&gt;"")*('Auction Log'!$E$5:$E$304&gt;0),0)),"SOLD"))</f>
        <v>Available</v>
      </c>
      <c r="E127" s="19" t="str">
        <f aca="false">IF(COUNTIFS('Auction Log'!$B$5:$B$304,A127,'Auction Log'!$D$5:$D$304,"&lt;&gt;",'Auction Log'!$E$5:$E$304,"&gt;0")=0,"",IFERROR(INDEX('Auction Log'!$E$5:$E$304,MATCH(1,('Auction Log'!$B$5:$B$304=A127)*('Auction Log'!$D$5:$D$304&lt;&gt;"")*('Auction Log'!$E$5:$E$304&gt;0),0)),""))</f>
        <v/>
      </c>
      <c r="F127" s="18" t="s">
        <v>180</v>
      </c>
      <c r="G127" s="18" t="s">
        <v>21</v>
      </c>
      <c r="H127" s="18" t="n">
        <v>10</v>
      </c>
      <c r="I127" s="18" t="n">
        <v>115</v>
      </c>
      <c r="J127" s="18" t="n">
        <v>8</v>
      </c>
      <c r="K127" s="36" t="n">
        <v>156</v>
      </c>
      <c r="L127" s="36" t="n">
        <v>176</v>
      </c>
      <c r="M127" s="19" t="n">
        <v>2</v>
      </c>
      <c r="N127" s="19" t="n">
        <v>9</v>
      </c>
      <c r="O127" s="19" t="n">
        <v>-3</v>
      </c>
      <c r="P127" s="19" t="n">
        <v>0</v>
      </c>
      <c r="Q127" s="19" t="n">
        <v>1</v>
      </c>
      <c r="R127" s="19" t="n">
        <v>5</v>
      </c>
      <c r="S127" s="19" t="n">
        <v>4</v>
      </c>
      <c r="T127" s="18" t="s">
        <v>125</v>
      </c>
      <c r="U127" s="32" t="s">
        <v>274</v>
      </c>
      <c r="V127" s="19" t="str">
        <f aca="false">IF(E127="","",R127-E127)</f>
        <v/>
      </c>
      <c r="W127" s="18" t="s">
        <v>98</v>
      </c>
      <c r="X127" s="4" t="n">
        <f aca="false">IF(AND(D127="Available",R127&gt;=55),ROW(),9999)</f>
        <v>9999</v>
      </c>
      <c r="Y127" s="4" t="n">
        <f aca="false">IF(AND(D127="Available",R127&gt;=40,R127&lt;55),ROW(),9999)</f>
        <v>9999</v>
      </c>
      <c r="Z127" s="4" t="n">
        <f aca="false">IF(AND(D127="Available",R127&gt;=25,R127&lt;40),ROW(),9999)</f>
        <v>9999</v>
      </c>
      <c r="AA127" s="35" t="n">
        <f aca="false">IF(K127="","",IF(L127="",K127,ROUND(AVERAGE(K127,L127),0)))</f>
        <v>166</v>
      </c>
    </row>
    <row r="128" customFormat="false" ht="15" hidden="false" customHeight="false" outlineLevel="0" collapsed="false">
      <c r="A128" s="18" t="s">
        <v>275</v>
      </c>
      <c r="B128" s="19" t="n">
        <f aca="false">R128-N128</f>
        <v>1</v>
      </c>
      <c r="C128" s="18" t="str">
        <f aca="false">IF(B128&gt;=5,"SMASH BUY",IF(B128&gt;=2,"BUY",IF(B128&gt;=-1,"NEUTRAL",IF(B128&gt;=-4,"AVOID","DO NOT BID"))))</f>
        <v>NEUTRAL</v>
      </c>
      <c r="D128" s="18" t="str">
        <f aca="false">IF(COUNTIFS('Auction Log'!$B$5:$B$304,A128,'Auction Log'!$D$5:$D$304,"&lt;&gt;",'Auction Log'!$E$5:$E$304,"&gt;0")=0,"Available",IFERROR(INDEX('Auction Log'!$D$5:$D$304,MATCH(1,('Auction Log'!$B$5:$B$304=A128)*('Auction Log'!$D$5:$D$304&lt;&gt;"")*('Auction Log'!$E$5:$E$304&gt;0),0)),"SOLD"))</f>
        <v>Available</v>
      </c>
      <c r="E128" s="19" t="str">
        <f aca="false">IF(COUNTIFS('Auction Log'!$B$5:$B$304,A128,'Auction Log'!$D$5:$D$304,"&lt;&gt;",'Auction Log'!$E$5:$E$304,"&gt;0")=0,"",IFERROR(INDEX('Auction Log'!$E$5:$E$304,MATCH(1,('Auction Log'!$B$5:$B$304=A128)*('Auction Log'!$D$5:$D$304&lt;&gt;"")*('Auction Log'!$E$5:$E$304&gt;0),0)),""))</f>
        <v/>
      </c>
      <c r="F128" s="18" t="s">
        <v>173</v>
      </c>
      <c r="G128" s="18" t="s">
        <v>16</v>
      </c>
      <c r="H128" s="18" t="n">
        <v>10</v>
      </c>
      <c r="I128" s="18" t="n">
        <v>119</v>
      </c>
      <c r="J128" s="18" t="n">
        <v>8</v>
      </c>
      <c r="K128" s="36" t="n">
        <v>282</v>
      </c>
      <c r="L128" s="36" t="n">
        <v>265</v>
      </c>
      <c r="M128" s="19" t="n">
        <v>1</v>
      </c>
      <c r="N128" s="19" t="n">
        <v>4</v>
      </c>
      <c r="O128" s="19" t="n">
        <v>2</v>
      </c>
      <c r="P128" s="19" t="n">
        <v>-1</v>
      </c>
      <c r="Q128" s="19" t="n">
        <v>0</v>
      </c>
      <c r="R128" s="19" t="n">
        <v>5</v>
      </c>
      <c r="S128" s="19" t="n">
        <v>4</v>
      </c>
      <c r="T128" s="18" t="s">
        <v>125</v>
      </c>
      <c r="U128" s="32"/>
      <c r="V128" s="19" t="str">
        <f aca="false">IF(E128="","",R128-E128)</f>
        <v/>
      </c>
      <c r="W128" s="18" t="s">
        <v>98</v>
      </c>
      <c r="X128" s="4" t="n">
        <f aca="false">IF(AND(D128="Available",R128&gt;=55),ROW(),9999)</f>
        <v>9999</v>
      </c>
      <c r="Y128" s="4" t="n">
        <f aca="false">IF(AND(D128="Available",R128&gt;=40,R128&lt;55),ROW(),9999)</f>
        <v>9999</v>
      </c>
      <c r="Z128" s="4" t="n">
        <f aca="false">IF(AND(D128="Available",R128&gt;=25,R128&lt;40),ROW(),9999)</f>
        <v>9999</v>
      </c>
      <c r="AA128" s="35" t="n">
        <f aca="false">IF(K128="","",IF(L128="",K128,ROUND(AVERAGE(K128,L128),0)))</f>
        <v>274</v>
      </c>
    </row>
    <row r="129" customFormat="false" ht="15" hidden="false" customHeight="false" outlineLevel="0" collapsed="false">
      <c r="A129" s="18" t="s">
        <v>276</v>
      </c>
      <c r="B129" s="19" t="n">
        <f aca="false">R129-N129</f>
        <v>4</v>
      </c>
      <c r="C129" s="18" t="str">
        <f aca="false">IF(B129&gt;=5,"SMASH BUY",IF(B129&gt;=2,"BUY",IF(B129&gt;=-1,"NEUTRAL",IF(B129&gt;=-4,"AVOID","DO NOT BID"))))</f>
        <v>BUY</v>
      </c>
      <c r="D129" s="18" t="str">
        <f aca="false">IF(COUNTIFS('Auction Log'!$B$5:$B$304,A129,'Auction Log'!$D$5:$D$304,"&lt;&gt;",'Auction Log'!$E$5:$E$304,"&gt;0")=0,"Available",IFERROR(INDEX('Auction Log'!$D$5:$D$304,MATCH(1,('Auction Log'!$B$5:$B$304=A129)*('Auction Log'!$D$5:$D$304&lt;&gt;"")*('Auction Log'!$E$5:$E$304&gt;0),0)),"SOLD"))</f>
        <v>Available</v>
      </c>
      <c r="E129" s="19" t="str">
        <f aca="false">IF(COUNTIFS('Auction Log'!$B$5:$B$304,A129,'Auction Log'!$D$5:$D$304,"&lt;&gt;",'Auction Log'!$E$5:$E$304,"&gt;0")=0,"",IFERROR(INDEX('Auction Log'!$E$5:$E$304,MATCH(1,('Auction Log'!$B$5:$B$304=A129)*('Auction Log'!$D$5:$D$304&lt;&gt;"")*('Auction Log'!$E$5:$E$304&gt;0),0)),""))</f>
        <v/>
      </c>
      <c r="F129" s="18" t="s">
        <v>158</v>
      </c>
      <c r="G129" s="18" t="s">
        <v>16</v>
      </c>
      <c r="H129" s="18" t="n">
        <v>11</v>
      </c>
      <c r="I129" s="18" t="n">
        <v>120</v>
      </c>
      <c r="J129" s="18" t="n">
        <v>8</v>
      </c>
      <c r="K129" s="36" t="n">
        <v>268</v>
      </c>
      <c r="L129" s="36" t="n">
        <v>259</v>
      </c>
      <c r="M129" s="19" t="n">
        <v>0</v>
      </c>
      <c r="N129" s="19" t="n">
        <v>1</v>
      </c>
      <c r="O129" s="19" t="n">
        <v>4</v>
      </c>
      <c r="P129" s="19" t="n">
        <v>0</v>
      </c>
      <c r="Q129" s="19" t="n">
        <v>0</v>
      </c>
      <c r="R129" s="19" t="n">
        <v>5</v>
      </c>
      <c r="S129" s="19" t="n">
        <v>4</v>
      </c>
      <c r="T129" s="18" t="s">
        <v>125</v>
      </c>
      <c r="U129" s="32"/>
      <c r="V129" s="19" t="str">
        <f aca="false">IF(E129="","",R129-E129)</f>
        <v/>
      </c>
      <c r="W129" s="18" t="s">
        <v>98</v>
      </c>
      <c r="X129" s="4" t="n">
        <f aca="false">IF(AND(D129="Available",R129&gt;=55),ROW(),9999)</f>
        <v>9999</v>
      </c>
      <c r="Y129" s="4" t="n">
        <f aca="false">IF(AND(D129="Available",R129&gt;=40,R129&lt;55),ROW(),9999)</f>
        <v>9999</v>
      </c>
      <c r="Z129" s="4" t="n">
        <f aca="false">IF(AND(D129="Available",R129&gt;=25,R129&lt;40),ROW(),9999)</f>
        <v>9999</v>
      </c>
      <c r="AA129" s="35" t="n">
        <f aca="false">IF(K129="","",IF(L129="",K129,ROUND(AVERAGE(K129,L129),0)))</f>
        <v>264</v>
      </c>
    </row>
    <row r="130" customFormat="false" ht="15" hidden="false" customHeight="false" outlineLevel="0" collapsed="false">
      <c r="A130" s="18" t="s">
        <v>277</v>
      </c>
      <c r="B130" s="19" t="n">
        <f aca="false">R130-N130</f>
        <v>1</v>
      </c>
      <c r="C130" s="18" t="str">
        <f aca="false">IF(B130&gt;=5,"SMASH BUY",IF(B130&gt;=2,"BUY",IF(B130&gt;=-1,"NEUTRAL",IF(B130&gt;=-4,"AVOID","DO NOT BID"))))</f>
        <v>NEUTRAL</v>
      </c>
      <c r="D130" s="18" t="str">
        <f aca="false">IF(COUNTIFS('Auction Log'!$B$5:$B$304,A130,'Auction Log'!$D$5:$D$304,"&lt;&gt;",'Auction Log'!$E$5:$E$304,"&gt;0")=0,"Available",IFERROR(INDEX('Auction Log'!$D$5:$D$304,MATCH(1,('Auction Log'!$B$5:$B$304=A130)*('Auction Log'!$D$5:$D$304&lt;&gt;"")*('Auction Log'!$E$5:$E$304&gt;0),0)),"SOLD"))</f>
        <v>Available</v>
      </c>
      <c r="E130" s="19" t="str">
        <f aca="false">IF(COUNTIFS('Auction Log'!$B$5:$B$304,A130,'Auction Log'!$D$5:$D$304,"&lt;&gt;",'Auction Log'!$E$5:$E$304,"&gt;0")=0,"",IFERROR(INDEX('Auction Log'!$E$5:$E$304,MATCH(1,('Auction Log'!$B$5:$B$304=A130)*('Auction Log'!$D$5:$D$304&lt;&gt;"")*('Auction Log'!$E$5:$E$304&gt;0),0)),""))</f>
        <v/>
      </c>
      <c r="F130" s="18" t="s">
        <v>128</v>
      </c>
      <c r="G130" s="18" t="s">
        <v>16</v>
      </c>
      <c r="H130" s="18" t="n">
        <v>8</v>
      </c>
      <c r="I130" s="18" t="n">
        <v>125</v>
      </c>
      <c r="J130" s="18" t="n">
        <v>8</v>
      </c>
      <c r="K130" s="36" t="n">
        <v>285</v>
      </c>
      <c r="L130" s="36" t="n">
        <v>266</v>
      </c>
      <c r="M130" s="19" t="n">
        <v>1</v>
      </c>
      <c r="N130" s="19" t="n">
        <v>4</v>
      </c>
      <c r="O130" s="19" t="n">
        <v>2</v>
      </c>
      <c r="P130" s="19" t="n">
        <v>-1</v>
      </c>
      <c r="Q130" s="19" t="n">
        <v>0</v>
      </c>
      <c r="R130" s="19" t="n">
        <v>5</v>
      </c>
      <c r="S130" s="19" t="n">
        <v>4</v>
      </c>
      <c r="T130" s="18" t="s">
        <v>125</v>
      </c>
      <c r="U130" s="32"/>
      <c r="V130" s="19" t="str">
        <f aca="false">IF(E130="","",R130-E130)</f>
        <v/>
      </c>
      <c r="W130" s="18" t="s">
        <v>98</v>
      </c>
      <c r="X130" s="4" t="n">
        <f aca="false">IF(AND(D130="Available",R130&gt;=55),ROW(),9999)</f>
        <v>9999</v>
      </c>
      <c r="Y130" s="4" t="n">
        <f aca="false">IF(AND(D130="Available",R130&gt;=40,R130&lt;55),ROW(),9999)</f>
        <v>9999</v>
      </c>
      <c r="Z130" s="4" t="n">
        <f aca="false">IF(AND(D130="Available",R130&gt;=25,R130&lt;40),ROW(),9999)</f>
        <v>9999</v>
      </c>
      <c r="AA130" s="35" t="n">
        <f aca="false">IF(K130="","",IF(L130="",K130,ROUND(AVERAGE(K130,L130),0)))</f>
        <v>276</v>
      </c>
    </row>
    <row r="131" customFormat="false" ht="15" hidden="false" customHeight="false" outlineLevel="0" collapsed="false">
      <c r="A131" s="18" t="s">
        <v>278</v>
      </c>
      <c r="B131" s="19" t="n">
        <f aca="false">R131-N131</f>
        <v>-5</v>
      </c>
      <c r="C131" s="18" t="str">
        <f aca="false">IF(B131&gt;=5,"SMASH BUY",IF(B131&gt;=2,"BUY",IF(B131&gt;=-1,"NEUTRAL",IF(B131&gt;=-4,"AVOID","DO NOT BID"))))</f>
        <v>DO NOT BID</v>
      </c>
      <c r="D131" s="18" t="str">
        <f aca="false">IF(COUNTIFS('Auction Log'!$B$5:$B$304,A131,'Auction Log'!$D$5:$D$304,"&lt;&gt;",'Auction Log'!$E$5:$E$304,"&gt;0")=0,"Available",IFERROR(INDEX('Auction Log'!$D$5:$D$304,MATCH(1,('Auction Log'!$B$5:$B$304=A131)*('Auction Log'!$D$5:$D$304&lt;&gt;"")*('Auction Log'!$E$5:$E$304&gt;0),0)),"SOLD"))</f>
        <v>Available</v>
      </c>
      <c r="E131" s="19" t="str">
        <f aca="false">IF(COUNTIFS('Auction Log'!$B$5:$B$304,A131,'Auction Log'!$D$5:$D$304,"&lt;&gt;",'Auction Log'!$E$5:$E$304,"&gt;0")=0,"",IFERROR(INDEX('Auction Log'!$E$5:$E$304,MATCH(1,('Auction Log'!$B$5:$B$304=A131)*('Auction Log'!$D$5:$D$304&lt;&gt;"")*('Auction Log'!$E$5:$E$304&gt;0),0)),""))</f>
        <v/>
      </c>
      <c r="F131" s="18" t="s">
        <v>111</v>
      </c>
      <c r="G131" s="18" t="s">
        <v>26</v>
      </c>
      <c r="H131" s="18" t="n">
        <v>8</v>
      </c>
      <c r="I131" s="18" t="n">
        <v>136</v>
      </c>
      <c r="J131" s="18" t="n">
        <v>9</v>
      </c>
      <c r="K131" s="36" t="n">
        <v>169</v>
      </c>
      <c r="L131" s="36" t="n">
        <v>161</v>
      </c>
      <c r="M131" s="19" t="n">
        <v>2</v>
      </c>
      <c r="N131" s="19" t="n">
        <v>10</v>
      </c>
      <c r="O131" s="19" t="n">
        <v>-4</v>
      </c>
      <c r="P131" s="19" t="n">
        <v>-1</v>
      </c>
      <c r="Q131" s="19" t="n">
        <v>0</v>
      </c>
      <c r="R131" s="19" t="n">
        <v>5</v>
      </c>
      <c r="S131" s="19" t="n">
        <v>4</v>
      </c>
      <c r="T131" s="18" t="s">
        <v>125</v>
      </c>
      <c r="U131" s="32"/>
      <c r="V131" s="19" t="str">
        <f aca="false">IF(E131="","",R131-E131)</f>
        <v/>
      </c>
      <c r="W131" s="18" t="s">
        <v>98</v>
      </c>
      <c r="X131" s="4" t="n">
        <f aca="false">IF(AND(D131="Available",R131&gt;=55),ROW(),9999)</f>
        <v>9999</v>
      </c>
      <c r="Y131" s="4" t="n">
        <f aca="false">IF(AND(D131="Available",R131&gt;=40,R131&lt;55),ROW(),9999)</f>
        <v>9999</v>
      </c>
      <c r="Z131" s="4" t="n">
        <f aca="false">IF(AND(D131="Available",R131&gt;=25,R131&lt;40),ROW(),9999)</f>
        <v>9999</v>
      </c>
      <c r="AA131" s="35" t="n">
        <f aca="false">IF(K131="","",IF(L131="",K131,ROUND(AVERAGE(K131,L131),0)))</f>
        <v>165</v>
      </c>
    </row>
    <row r="132" customFormat="false" ht="15" hidden="false" customHeight="false" outlineLevel="0" collapsed="false">
      <c r="A132" s="18" t="s">
        <v>279</v>
      </c>
      <c r="B132" s="19" t="n">
        <f aca="false">R132-N132</f>
        <v>-4</v>
      </c>
      <c r="C132" s="18" t="str">
        <f aca="false">IF(B132&gt;=5,"SMASH BUY",IF(B132&gt;=2,"BUY",IF(B132&gt;=-1,"NEUTRAL",IF(B132&gt;=-4,"AVOID","DO NOT BID"))))</f>
        <v>AVOID</v>
      </c>
      <c r="D132" s="18" t="str">
        <f aca="false">IF(COUNTIFS('Auction Log'!$B$5:$B$304,A132,'Auction Log'!$D$5:$D$304,"&lt;&gt;",'Auction Log'!$E$5:$E$304,"&gt;0")=0,"Available",IFERROR(INDEX('Auction Log'!$D$5:$D$304,MATCH(1,('Auction Log'!$B$5:$B$304=A132)*('Auction Log'!$D$5:$D$304&lt;&gt;"")*('Auction Log'!$E$5:$E$304&gt;0),0)),"SOLD"))</f>
        <v>Available</v>
      </c>
      <c r="E132" s="19" t="str">
        <f aca="false">IF(COUNTIFS('Auction Log'!$B$5:$B$304,A132,'Auction Log'!$D$5:$D$304,"&lt;&gt;",'Auction Log'!$E$5:$E$304,"&gt;0")=0,"",IFERROR(INDEX('Auction Log'!$E$5:$E$304,MATCH(1,('Auction Log'!$B$5:$B$304=A132)*('Auction Log'!$D$5:$D$304&lt;&gt;"")*('Auction Log'!$E$5:$E$304&gt;0),0)),""))</f>
        <v/>
      </c>
      <c r="F132" s="18" t="s">
        <v>185</v>
      </c>
      <c r="G132" s="18" t="s">
        <v>26</v>
      </c>
      <c r="H132" s="18" t="n">
        <v>11</v>
      </c>
      <c r="I132" s="18" t="n">
        <v>122</v>
      </c>
      <c r="J132" s="18" t="n">
        <v>8</v>
      </c>
      <c r="K132" s="36" t="n">
        <v>161</v>
      </c>
      <c r="L132" s="36" t="n">
        <v>154</v>
      </c>
      <c r="M132" s="19" t="n">
        <v>1</v>
      </c>
      <c r="N132" s="19" t="n">
        <v>8</v>
      </c>
      <c r="O132" s="19" t="n">
        <v>-3</v>
      </c>
      <c r="P132" s="19" t="n">
        <v>-1</v>
      </c>
      <c r="Q132" s="19" t="n">
        <v>0</v>
      </c>
      <c r="R132" s="19" t="n">
        <v>4</v>
      </c>
      <c r="S132" s="19" t="n">
        <v>3</v>
      </c>
      <c r="T132" s="18" t="s">
        <v>125</v>
      </c>
      <c r="U132" s="32"/>
      <c r="V132" s="19" t="str">
        <f aca="false">IF(E132="","",R132-E132)</f>
        <v/>
      </c>
      <c r="W132" s="18" t="s">
        <v>98</v>
      </c>
      <c r="X132" s="4" t="n">
        <f aca="false">IF(AND(D132="Available",R132&gt;=55),ROW(),9999)</f>
        <v>9999</v>
      </c>
      <c r="Y132" s="4" t="n">
        <f aca="false">IF(AND(D132="Available",R132&gt;=40,R132&lt;55),ROW(),9999)</f>
        <v>9999</v>
      </c>
      <c r="Z132" s="4" t="n">
        <f aca="false">IF(AND(D132="Available",R132&gt;=25,R132&lt;40),ROW(),9999)</f>
        <v>9999</v>
      </c>
      <c r="AA132" s="35" t="n">
        <f aca="false">IF(K132="","",IF(L132="",K132,ROUND(AVERAGE(K132,L132),0)))</f>
        <v>158</v>
      </c>
    </row>
    <row r="133" customFormat="false" ht="15" hidden="false" customHeight="false" outlineLevel="0" collapsed="false">
      <c r="A133" s="18" t="s">
        <v>280</v>
      </c>
      <c r="B133" s="19" t="n">
        <f aca="false">R133-N133</f>
        <v>-4</v>
      </c>
      <c r="C133" s="18" t="str">
        <f aca="false">IF(B133&gt;=5,"SMASH BUY",IF(B133&gt;=2,"BUY",IF(B133&gt;=-1,"NEUTRAL",IF(B133&gt;=-4,"AVOID","DO NOT BID"))))</f>
        <v>AVOID</v>
      </c>
      <c r="D133" s="18" t="str">
        <f aca="false">IF(COUNTIFS('Auction Log'!$B$5:$B$304,A133,'Auction Log'!$D$5:$D$304,"&lt;&gt;",'Auction Log'!$E$5:$E$304,"&gt;0")=0,"Available",IFERROR(INDEX('Auction Log'!$D$5:$D$304,MATCH(1,('Auction Log'!$B$5:$B$304=A133)*('Auction Log'!$D$5:$D$304&lt;&gt;"")*('Auction Log'!$E$5:$E$304&gt;0),0)),"SOLD"))</f>
        <v>Available</v>
      </c>
      <c r="E133" s="19" t="str">
        <f aca="false">IF(COUNTIFS('Auction Log'!$B$5:$B$304,A133,'Auction Log'!$D$5:$D$304,"&lt;&gt;",'Auction Log'!$E$5:$E$304,"&gt;0")=0,"",IFERROR(INDEX('Auction Log'!$E$5:$E$304,MATCH(1,('Auction Log'!$B$5:$B$304=A133)*('Auction Log'!$D$5:$D$304&lt;&gt;"")*('Auction Log'!$E$5:$E$304&gt;0),0)),""))</f>
        <v/>
      </c>
      <c r="F133" s="18" t="s">
        <v>156</v>
      </c>
      <c r="G133" s="18" t="s">
        <v>26</v>
      </c>
      <c r="H133" s="18" t="n">
        <v>5</v>
      </c>
      <c r="I133" s="18" t="n">
        <v>124</v>
      </c>
      <c r="J133" s="18" t="n">
        <v>8</v>
      </c>
      <c r="K133" s="36" t="n">
        <v>158</v>
      </c>
      <c r="L133" s="36" t="n">
        <v>147</v>
      </c>
      <c r="M133" s="19" t="n">
        <v>1</v>
      </c>
      <c r="N133" s="19" t="n">
        <v>8</v>
      </c>
      <c r="O133" s="19" t="n">
        <v>-3</v>
      </c>
      <c r="P133" s="19" t="n">
        <v>-1</v>
      </c>
      <c r="Q133" s="19" t="n">
        <v>0</v>
      </c>
      <c r="R133" s="19" t="n">
        <v>4</v>
      </c>
      <c r="S133" s="19" t="n">
        <v>3</v>
      </c>
      <c r="T133" s="18" t="s">
        <v>125</v>
      </c>
      <c r="U133" s="32"/>
      <c r="V133" s="19" t="str">
        <f aca="false">IF(E133="","",R133-E133)</f>
        <v/>
      </c>
      <c r="W133" s="18" t="s">
        <v>98</v>
      </c>
      <c r="X133" s="4" t="n">
        <f aca="false">IF(AND(D133="Available",R133&gt;=55),ROW(),9999)</f>
        <v>9999</v>
      </c>
      <c r="Y133" s="4" t="n">
        <f aca="false">IF(AND(D133="Available",R133&gt;=40,R133&lt;55),ROW(),9999)</f>
        <v>9999</v>
      </c>
      <c r="Z133" s="4" t="n">
        <f aca="false">IF(AND(D133="Available",R133&gt;=25,R133&lt;40),ROW(),9999)</f>
        <v>9999</v>
      </c>
      <c r="AA133" s="35" t="n">
        <f aca="false">IF(K133="","",IF(L133="",K133,ROUND(AVERAGE(K133,L133),0)))</f>
        <v>153</v>
      </c>
    </row>
    <row r="134" customFormat="false" ht="15" hidden="false" customHeight="false" outlineLevel="0" collapsed="false">
      <c r="A134" s="18" t="s">
        <v>281</v>
      </c>
      <c r="B134" s="19" t="n">
        <f aca="false">R134-N134</f>
        <v>-5</v>
      </c>
      <c r="C134" s="18" t="str">
        <f aca="false">IF(B134&gt;=5,"SMASH BUY",IF(B134&gt;=2,"BUY",IF(B134&gt;=-1,"NEUTRAL",IF(B134&gt;=-4,"AVOID","DO NOT BID"))))</f>
        <v>DO NOT BID</v>
      </c>
      <c r="D134" s="18" t="str">
        <f aca="false">IF(COUNTIFS('Auction Log'!$B$5:$B$304,A134,'Auction Log'!$D$5:$D$304,"&lt;&gt;",'Auction Log'!$E$5:$E$304,"&gt;0")=0,"Available",IFERROR(INDEX('Auction Log'!$D$5:$D$304,MATCH(1,('Auction Log'!$B$5:$B$304=A134)*('Auction Log'!$D$5:$D$304&lt;&gt;"")*('Auction Log'!$E$5:$E$304&gt;0),0)),"SOLD"))</f>
        <v>Available</v>
      </c>
      <c r="E134" s="19" t="str">
        <f aca="false">IF(COUNTIFS('Auction Log'!$B$5:$B$304,A134,'Auction Log'!$D$5:$D$304,"&lt;&gt;",'Auction Log'!$E$5:$E$304,"&gt;0")=0,"",IFERROR(INDEX('Auction Log'!$E$5:$E$304,MATCH(1,('Auction Log'!$B$5:$B$304=A134)*('Auction Log'!$D$5:$D$304&lt;&gt;"")*('Auction Log'!$E$5:$E$304&gt;0),0)),""))</f>
        <v/>
      </c>
      <c r="F134" s="18" t="s">
        <v>130</v>
      </c>
      <c r="G134" s="18" t="s">
        <v>26</v>
      </c>
      <c r="H134" s="18" t="n">
        <v>11</v>
      </c>
      <c r="I134" s="18" t="n">
        <v>128</v>
      </c>
      <c r="J134" s="18" t="n">
        <v>8</v>
      </c>
      <c r="K134" s="36" t="n">
        <v>164</v>
      </c>
      <c r="L134" s="36" t="n">
        <v>150</v>
      </c>
      <c r="M134" s="19" t="n">
        <v>1</v>
      </c>
      <c r="N134" s="19" t="n">
        <v>9</v>
      </c>
      <c r="O134" s="19" t="n">
        <v>-4</v>
      </c>
      <c r="P134" s="19" t="n">
        <v>-1</v>
      </c>
      <c r="Q134" s="19" t="n">
        <v>0</v>
      </c>
      <c r="R134" s="19" t="n">
        <v>4</v>
      </c>
      <c r="S134" s="19" t="n">
        <v>3</v>
      </c>
      <c r="T134" s="18" t="s">
        <v>125</v>
      </c>
      <c r="U134" s="32"/>
      <c r="V134" s="19" t="str">
        <f aca="false">IF(E134="","",R134-E134)</f>
        <v/>
      </c>
      <c r="W134" s="18" t="s">
        <v>98</v>
      </c>
      <c r="X134" s="4" t="n">
        <f aca="false">IF(AND(D134="Available",R134&gt;=55),ROW(),9999)</f>
        <v>9999</v>
      </c>
      <c r="Y134" s="4" t="n">
        <f aca="false">IF(AND(D134="Available",R134&gt;=40,R134&lt;55),ROW(),9999)</f>
        <v>9999</v>
      </c>
      <c r="Z134" s="4" t="n">
        <f aca="false">IF(AND(D134="Available",R134&gt;=25,R134&lt;40),ROW(),9999)</f>
        <v>9999</v>
      </c>
      <c r="AA134" s="35" t="n">
        <f aca="false">IF(K134="","",IF(L134="",K134,ROUND(AVERAGE(K134,L134),0)))</f>
        <v>157</v>
      </c>
    </row>
    <row r="135" customFormat="false" ht="15" hidden="false" customHeight="false" outlineLevel="0" collapsed="false">
      <c r="A135" s="18" t="s">
        <v>282</v>
      </c>
      <c r="B135" s="19" t="n">
        <f aca="false">R135-N135</f>
        <v>-1</v>
      </c>
      <c r="C135" s="18" t="str">
        <f aca="false">IF(B135&gt;=5,"SMASH BUY",IF(B135&gt;=2,"BUY",IF(B135&gt;=-1,"NEUTRAL",IF(B135&gt;=-4,"AVOID","DO NOT BID"))))</f>
        <v>NEUTRAL</v>
      </c>
      <c r="D135" s="18" t="str">
        <f aca="false">IF(COUNTIFS('Auction Log'!$B$5:$B$304,A135,'Auction Log'!$D$5:$D$304,"&lt;&gt;",'Auction Log'!$E$5:$E$304,"&gt;0")=0,"Available",IFERROR(INDEX('Auction Log'!$D$5:$D$304,MATCH(1,('Auction Log'!$B$5:$B$304=A135)*('Auction Log'!$D$5:$D$304&lt;&gt;"")*('Auction Log'!$E$5:$E$304&gt;0),0)),"SOLD"))</f>
        <v>Available</v>
      </c>
      <c r="E135" s="19" t="str">
        <f aca="false">IF(COUNTIFS('Auction Log'!$B$5:$B$304,A135,'Auction Log'!$D$5:$D$304,"&lt;&gt;",'Auction Log'!$E$5:$E$304,"&gt;0")=0,"",IFERROR(INDEX('Auction Log'!$E$5:$E$304,MATCH(1,('Auction Log'!$B$5:$B$304=A135)*('Auction Log'!$D$5:$D$304&lt;&gt;"")*('Auction Log'!$E$5:$E$304&gt;0),0)),""))</f>
        <v/>
      </c>
      <c r="F135" s="18" t="s">
        <v>128</v>
      </c>
      <c r="G135" s="18" t="s">
        <v>30</v>
      </c>
      <c r="H135" s="18" t="n">
        <v>8</v>
      </c>
      <c r="I135" s="18" t="n">
        <v>132</v>
      </c>
      <c r="J135" s="18" t="n">
        <v>9</v>
      </c>
      <c r="K135" s="36" t="n">
        <v>155</v>
      </c>
      <c r="L135" s="36" t="n">
        <v>143</v>
      </c>
      <c r="M135" s="19" t="n">
        <v>1</v>
      </c>
      <c r="N135" s="19" t="n">
        <v>5</v>
      </c>
      <c r="O135" s="19" t="n">
        <v>-1</v>
      </c>
      <c r="P135" s="19" t="n">
        <v>0</v>
      </c>
      <c r="Q135" s="19" t="n">
        <v>0</v>
      </c>
      <c r="R135" s="19" t="n">
        <v>4</v>
      </c>
      <c r="S135" s="19" t="n">
        <v>3</v>
      </c>
      <c r="T135" s="18" t="s">
        <v>125</v>
      </c>
      <c r="U135" s="32"/>
      <c r="V135" s="19" t="str">
        <f aca="false">IF(E135="","",R135-E135)</f>
        <v/>
      </c>
      <c r="W135" s="18" t="s">
        <v>98</v>
      </c>
      <c r="X135" s="4" t="n">
        <f aca="false">IF(AND(D135="Available",R135&gt;=55),ROW(),9999)</f>
        <v>9999</v>
      </c>
      <c r="Y135" s="4" t="n">
        <f aca="false">IF(AND(D135="Available",R135&gt;=40,R135&lt;55),ROW(),9999)</f>
        <v>9999</v>
      </c>
      <c r="Z135" s="4" t="n">
        <f aca="false">IF(AND(D135="Available",R135&gt;=25,R135&lt;40),ROW(),9999)</f>
        <v>9999</v>
      </c>
      <c r="AA135" s="35" t="n">
        <f aca="false">IF(K135="","",IF(L135="",K135,ROUND(AVERAGE(K135,L135),0)))</f>
        <v>149</v>
      </c>
    </row>
    <row r="136" customFormat="false" ht="15" hidden="false" customHeight="false" outlineLevel="0" collapsed="false">
      <c r="A136" s="18" t="s">
        <v>283</v>
      </c>
      <c r="B136" s="19" t="n">
        <f aca="false">R136-N136</f>
        <v>-1</v>
      </c>
      <c r="C136" s="18" t="str">
        <f aca="false">IF(B136&gt;=5,"SMASH BUY",IF(B136&gt;=2,"BUY",IF(B136&gt;=-1,"NEUTRAL",IF(B136&gt;=-4,"AVOID","DO NOT BID"))))</f>
        <v>NEUTRAL</v>
      </c>
      <c r="D136" s="18" t="str">
        <f aca="false">IF(COUNTIFS('Auction Log'!$B$5:$B$304,A136,'Auction Log'!$D$5:$D$304,"&lt;&gt;",'Auction Log'!$E$5:$E$304,"&gt;0")=0,"Available",IFERROR(INDEX('Auction Log'!$D$5:$D$304,MATCH(1,('Auction Log'!$B$5:$B$304=A136)*('Auction Log'!$D$5:$D$304&lt;&gt;"")*('Auction Log'!$E$5:$E$304&gt;0),0)),"SOLD"))</f>
        <v>Available</v>
      </c>
      <c r="E136" s="19" t="str">
        <f aca="false">IF(COUNTIFS('Auction Log'!$B$5:$B$304,A136,'Auction Log'!$D$5:$D$304,"&lt;&gt;",'Auction Log'!$E$5:$E$304,"&gt;0")=0,"",IFERROR(INDEX('Auction Log'!$E$5:$E$304,MATCH(1,('Auction Log'!$B$5:$B$304=A136)*('Auction Log'!$D$5:$D$304&lt;&gt;"")*('Auction Log'!$E$5:$E$304&gt;0),0)),""))</f>
        <v/>
      </c>
      <c r="F136" s="18" t="s">
        <v>134</v>
      </c>
      <c r="G136" s="18" t="s">
        <v>21</v>
      </c>
      <c r="H136" s="18" t="n">
        <v>8</v>
      </c>
      <c r="I136" s="18" t="n">
        <v>133</v>
      </c>
      <c r="J136" s="18" t="n">
        <v>9</v>
      </c>
      <c r="K136" s="36" t="n">
        <v>124</v>
      </c>
      <c r="L136" s="36" t="n">
        <v>128</v>
      </c>
      <c r="M136" s="19" t="n">
        <v>1</v>
      </c>
      <c r="N136" s="19" t="n">
        <v>5</v>
      </c>
      <c r="O136" s="19" t="n">
        <v>-1</v>
      </c>
      <c r="P136" s="19" t="n">
        <v>0</v>
      </c>
      <c r="Q136" s="19" t="n">
        <v>0</v>
      </c>
      <c r="R136" s="19" t="n">
        <v>4</v>
      </c>
      <c r="S136" s="19" t="n">
        <v>3</v>
      </c>
      <c r="T136" s="18" t="s">
        <v>125</v>
      </c>
      <c r="U136" s="32"/>
      <c r="V136" s="19" t="str">
        <f aca="false">IF(E136="","",R136-E136)</f>
        <v/>
      </c>
      <c r="W136" s="18" t="s">
        <v>98</v>
      </c>
      <c r="X136" s="4" t="n">
        <f aca="false">IF(AND(D136="Available",R136&gt;=55),ROW(),9999)</f>
        <v>9999</v>
      </c>
      <c r="Y136" s="4" t="n">
        <f aca="false">IF(AND(D136="Available",R136&gt;=40,R136&lt;55),ROW(),9999)</f>
        <v>9999</v>
      </c>
      <c r="Z136" s="4" t="n">
        <f aca="false">IF(AND(D136="Available",R136&gt;=25,R136&lt;40),ROW(),9999)</f>
        <v>9999</v>
      </c>
      <c r="AA136" s="35" t="n">
        <f aca="false">IF(K136="","",IF(L136="",K136,ROUND(AVERAGE(K136,L136),0)))</f>
        <v>126</v>
      </c>
    </row>
    <row r="137" customFormat="false" ht="15" hidden="false" customHeight="false" outlineLevel="0" collapsed="false">
      <c r="A137" s="18" t="s">
        <v>284</v>
      </c>
      <c r="B137" s="19" t="n">
        <f aca="false">R137-N137</f>
        <v>-2</v>
      </c>
      <c r="C137" s="18" t="str">
        <f aca="false">IF(B137&gt;=5,"SMASH BUY",IF(B137&gt;=2,"BUY",IF(B137&gt;=-1,"NEUTRAL",IF(B137&gt;=-4,"AVOID","DO NOT BID"))))</f>
        <v>AVOID</v>
      </c>
      <c r="D137" s="18" t="str">
        <f aca="false">IF(COUNTIFS('Auction Log'!$B$5:$B$304,A137,'Auction Log'!$D$5:$D$304,"&lt;&gt;",'Auction Log'!$E$5:$E$304,"&gt;0")=0,"Available",IFERROR(INDEX('Auction Log'!$D$5:$D$304,MATCH(1,('Auction Log'!$B$5:$B$304=A137)*('Auction Log'!$D$5:$D$304&lt;&gt;"")*('Auction Log'!$E$5:$E$304&gt;0),0)),"SOLD"))</f>
        <v>Available</v>
      </c>
      <c r="E137" s="19" t="str">
        <f aca="false">IF(COUNTIFS('Auction Log'!$B$5:$B$304,A137,'Auction Log'!$D$5:$D$304,"&lt;&gt;",'Auction Log'!$E$5:$E$304,"&gt;0")=0,"",IFERROR(INDEX('Auction Log'!$E$5:$E$304,MATCH(1,('Auction Log'!$B$5:$B$304=A137)*('Auction Log'!$D$5:$D$304&lt;&gt;"")*('Auction Log'!$E$5:$E$304&gt;0),0)),""))</f>
        <v/>
      </c>
      <c r="F137" s="18" t="s">
        <v>202</v>
      </c>
      <c r="G137" s="18" t="s">
        <v>21</v>
      </c>
      <c r="H137" s="18" t="n">
        <v>9</v>
      </c>
      <c r="I137" s="18" t="n">
        <v>134</v>
      </c>
      <c r="J137" s="18" t="n">
        <v>9</v>
      </c>
      <c r="K137" s="36" t="n">
        <v>138</v>
      </c>
      <c r="L137" s="36" t="n">
        <v>154</v>
      </c>
      <c r="M137" s="19" t="n">
        <v>1</v>
      </c>
      <c r="N137" s="19" t="n">
        <v>6</v>
      </c>
      <c r="O137" s="19" t="n">
        <v>-2</v>
      </c>
      <c r="P137" s="19" t="n">
        <v>0</v>
      </c>
      <c r="Q137" s="19" t="n">
        <v>0</v>
      </c>
      <c r="R137" s="19" t="n">
        <v>4</v>
      </c>
      <c r="S137" s="19" t="n">
        <v>3</v>
      </c>
      <c r="T137" s="18" t="s">
        <v>125</v>
      </c>
      <c r="U137" s="32"/>
      <c r="V137" s="19" t="str">
        <f aca="false">IF(E137="","",R137-E137)</f>
        <v/>
      </c>
      <c r="W137" s="18" t="s">
        <v>98</v>
      </c>
      <c r="X137" s="4" t="n">
        <f aca="false">IF(AND(D137="Available",R137&gt;=55),ROW(),9999)</f>
        <v>9999</v>
      </c>
      <c r="Y137" s="4" t="n">
        <f aca="false">IF(AND(D137="Available",R137&gt;=40,R137&lt;55),ROW(),9999)</f>
        <v>9999</v>
      </c>
      <c r="Z137" s="4" t="n">
        <f aca="false">IF(AND(D137="Available",R137&gt;=25,R137&lt;40),ROW(),9999)</f>
        <v>9999</v>
      </c>
      <c r="AA137" s="35" t="n">
        <f aca="false">IF(K137="","",IF(L137="",K137,ROUND(AVERAGE(K137,L137),0)))</f>
        <v>146</v>
      </c>
    </row>
    <row r="138" customFormat="false" ht="15" hidden="false" customHeight="false" outlineLevel="0" collapsed="false">
      <c r="A138" s="18" t="s">
        <v>285</v>
      </c>
      <c r="B138" s="19" t="n">
        <f aca="false">R138-N138</f>
        <v>1</v>
      </c>
      <c r="C138" s="18" t="str">
        <f aca="false">IF(B138&gt;=5,"SMASH BUY",IF(B138&gt;=2,"BUY",IF(B138&gt;=-1,"NEUTRAL",IF(B138&gt;=-4,"AVOID","DO NOT BID"))))</f>
        <v>NEUTRAL</v>
      </c>
      <c r="D138" s="18" t="str">
        <f aca="false">IF(COUNTIFS('Auction Log'!$B$5:$B$304,A138,'Auction Log'!$D$5:$D$304,"&lt;&gt;",'Auction Log'!$E$5:$E$304,"&gt;0")=0,"Available",IFERROR(INDEX('Auction Log'!$D$5:$D$304,MATCH(1,('Auction Log'!$B$5:$B$304=A138)*('Auction Log'!$D$5:$D$304&lt;&gt;"")*('Auction Log'!$E$5:$E$304&gt;0),0)),"SOLD"))</f>
        <v>Available</v>
      </c>
      <c r="E138" s="19" t="str">
        <f aca="false">IF(COUNTIFS('Auction Log'!$B$5:$B$304,A138,'Auction Log'!$D$5:$D$304,"&lt;&gt;",'Auction Log'!$E$5:$E$304,"&gt;0")=0,"",IFERROR(INDEX('Auction Log'!$E$5:$E$304,MATCH(1,('Auction Log'!$B$5:$B$304=A138)*('Auction Log'!$D$5:$D$304&lt;&gt;"")*('Auction Log'!$E$5:$E$304&gt;0),0)),""))</f>
        <v/>
      </c>
      <c r="F138" s="18" t="s">
        <v>136</v>
      </c>
      <c r="G138" s="18" t="s">
        <v>21</v>
      </c>
      <c r="H138" s="18" t="n">
        <v>14</v>
      </c>
      <c r="I138" s="18" t="n">
        <v>135</v>
      </c>
      <c r="J138" s="18" t="n">
        <v>9</v>
      </c>
      <c r="K138" s="36" t="n">
        <v>98</v>
      </c>
      <c r="L138" s="36" t="n">
        <v>91</v>
      </c>
      <c r="M138" s="19" t="n">
        <v>1</v>
      </c>
      <c r="N138" s="19" t="n">
        <v>3</v>
      </c>
      <c r="O138" s="19" t="n">
        <v>1</v>
      </c>
      <c r="P138" s="19" t="n">
        <v>0</v>
      </c>
      <c r="Q138" s="19" t="n">
        <v>0</v>
      </c>
      <c r="R138" s="19" t="n">
        <v>4</v>
      </c>
      <c r="S138" s="19" t="n">
        <v>3</v>
      </c>
      <c r="T138" s="18" t="s">
        <v>125</v>
      </c>
      <c r="U138" s="32"/>
      <c r="V138" s="19" t="str">
        <f aca="false">IF(E138="","",R138-E138)</f>
        <v/>
      </c>
      <c r="W138" s="18" t="s">
        <v>98</v>
      </c>
      <c r="X138" s="4" t="n">
        <f aca="false">IF(AND(D138="Available",R138&gt;=55),ROW(),9999)</f>
        <v>9999</v>
      </c>
      <c r="Y138" s="4" t="n">
        <f aca="false">IF(AND(D138="Available",R138&gt;=40,R138&lt;55),ROW(),9999)</f>
        <v>9999</v>
      </c>
      <c r="Z138" s="4" t="n">
        <f aca="false">IF(AND(D138="Available",R138&gt;=25,R138&lt;40),ROW(),9999)</f>
        <v>9999</v>
      </c>
      <c r="AA138" s="35" t="n">
        <f aca="false">IF(K138="","",IF(L138="",K138,ROUND(AVERAGE(K138,L138),0)))</f>
        <v>95</v>
      </c>
    </row>
    <row r="139" customFormat="false" ht="15" hidden="false" customHeight="false" outlineLevel="0" collapsed="false">
      <c r="A139" s="18" t="s">
        <v>286</v>
      </c>
      <c r="B139" s="19" t="n">
        <f aca="false">R139-N139</f>
        <v>1</v>
      </c>
      <c r="C139" s="18" t="str">
        <f aca="false">IF(B139&gt;=5,"SMASH BUY",IF(B139&gt;=2,"BUY",IF(B139&gt;=-1,"NEUTRAL",IF(B139&gt;=-4,"AVOID","DO NOT BID"))))</f>
        <v>NEUTRAL</v>
      </c>
      <c r="D139" s="18" t="str">
        <f aca="false">IF(COUNTIFS('Auction Log'!$B$5:$B$304,A139,'Auction Log'!$D$5:$D$304,"&lt;&gt;",'Auction Log'!$E$5:$E$304,"&gt;0")=0,"Available",IFERROR(INDEX('Auction Log'!$D$5:$D$304,MATCH(1,('Auction Log'!$B$5:$B$304=A139)*('Auction Log'!$D$5:$D$304&lt;&gt;"")*('Auction Log'!$E$5:$E$304&gt;0),0)),"SOLD"))</f>
        <v>Available</v>
      </c>
      <c r="E139" s="19" t="str">
        <f aca="false">IF(COUNTIFS('Auction Log'!$B$5:$B$304,A139,'Auction Log'!$D$5:$D$304,"&lt;&gt;",'Auction Log'!$E$5:$E$304,"&gt;0")=0,"",IFERROR(INDEX('Auction Log'!$E$5:$E$304,MATCH(1,('Auction Log'!$B$5:$B$304=A139)*('Auction Log'!$D$5:$D$304&lt;&gt;"")*('Auction Log'!$E$5:$E$304&gt;0),0)),""))</f>
        <v/>
      </c>
      <c r="F139" s="18" t="s">
        <v>196</v>
      </c>
      <c r="G139" s="18" t="s">
        <v>21</v>
      </c>
      <c r="H139" s="18" t="n">
        <v>7</v>
      </c>
      <c r="I139" s="18" t="n">
        <v>138</v>
      </c>
      <c r="J139" s="18" t="n">
        <v>9</v>
      </c>
      <c r="K139" s="36" t="n">
        <v>96</v>
      </c>
      <c r="L139" s="36" t="n">
        <v>71</v>
      </c>
      <c r="M139" s="19" t="n">
        <v>1</v>
      </c>
      <c r="N139" s="19" t="n">
        <v>3</v>
      </c>
      <c r="O139" s="19" t="n">
        <v>1</v>
      </c>
      <c r="P139" s="19" t="n">
        <v>0</v>
      </c>
      <c r="Q139" s="19" t="n">
        <v>0</v>
      </c>
      <c r="R139" s="19" t="n">
        <v>4</v>
      </c>
      <c r="S139" s="19" t="n">
        <v>3</v>
      </c>
      <c r="T139" s="18" t="s">
        <v>125</v>
      </c>
      <c r="U139" s="32"/>
      <c r="V139" s="19" t="str">
        <f aca="false">IF(E139="","",R139-E139)</f>
        <v/>
      </c>
      <c r="W139" s="18" t="s">
        <v>98</v>
      </c>
      <c r="X139" s="4" t="n">
        <f aca="false">IF(AND(D139="Available",R139&gt;=55),ROW(),9999)</f>
        <v>9999</v>
      </c>
      <c r="Y139" s="4" t="n">
        <f aca="false">IF(AND(D139="Available",R139&gt;=40,R139&lt;55),ROW(),9999)</f>
        <v>9999</v>
      </c>
      <c r="Z139" s="4" t="n">
        <f aca="false">IF(AND(D139="Available",R139&gt;=25,R139&lt;40),ROW(),9999)</f>
        <v>9999</v>
      </c>
      <c r="AA139" s="35" t="n">
        <f aca="false">IF(K139="","",IF(L139="",K139,ROUND(AVERAGE(K139,L139),0)))</f>
        <v>84</v>
      </c>
    </row>
    <row r="140" customFormat="false" ht="15" hidden="false" customHeight="false" outlineLevel="0" collapsed="false">
      <c r="A140" s="18" t="s">
        <v>287</v>
      </c>
      <c r="B140" s="19" t="n">
        <f aca="false">R140-N140</f>
        <v>0</v>
      </c>
      <c r="C140" s="18" t="str">
        <f aca="false">IF(B140&gt;=5,"SMASH BUY",IF(B140&gt;=2,"BUY",IF(B140&gt;=-1,"NEUTRAL",IF(B140&gt;=-4,"AVOID","DO NOT BID"))))</f>
        <v>NEUTRAL</v>
      </c>
      <c r="D140" s="18" t="str">
        <f aca="false">IF(COUNTIFS('Auction Log'!$B$5:$B$304,A140,'Auction Log'!$D$5:$D$304,"&lt;&gt;",'Auction Log'!$E$5:$E$304,"&gt;0")=0,"Available",IFERROR(INDEX('Auction Log'!$D$5:$D$304,MATCH(1,('Auction Log'!$B$5:$B$304=A140)*('Auction Log'!$D$5:$D$304&lt;&gt;"")*('Auction Log'!$E$5:$E$304&gt;0),0)),"SOLD"))</f>
        <v>Available</v>
      </c>
      <c r="E140" s="19" t="str">
        <f aca="false">IF(COUNTIFS('Auction Log'!$B$5:$B$304,A140,'Auction Log'!$D$5:$D$304,"&lt;&gt;",'Auction Log'!$E$5:$E$304,"&gt;0")=0,"",IFERROR(INDEX('Auction Log'!$E$5:$E$304,MATCH(1,('Auction Log'!$B$5:$B$304=A140)*('Auction Log'!$D$5:$D$304&lt;&gt;"")*('Auction Log'!$E$5:$E$304&gt;0),0)),""))</f>
        <v/>
      </c>
      <c r="F140" s="18" t="s">
        <v>185</v>
      </c>
      <c r="G140" s="18" t="s">
        <v>21</v>
      </c>
      <c r="H140" s="18" t="n">
        <v>11</v>
      </c>
      <c r="I140" s="18" t="n">
        <v>140</v>
      </c>
      <c r="J140" s="18" t="n">
        <v>9</v>
      </c>
      <c r="K140" s="36" t="n">
        <v>109</v>
      </c>
      <c r="L140" s="36" t="n">
        <v>87</v>
      </c>
      <c r="M140" s="19" t="n">
        <v>0</v>
      </c>
      <c r="N140" s="19" t="n">
        <v>4</v>
      </c>
      <c r="O140" s="19" t="n">
        <v>0</v>
      </c>
      <c r="P140" s="19" t="n">
        <v>0</v>
      </c>
      <c r="Q140" s="19" t="n">
        <v>0</v>
      </c>
      <c r="R140" s="19" t="n">
        <v>4</v>
      </c>
      <c r="S140" s="19" t="n">
        <v>3</v>
      </c>
      <c r="T140" s="18" t="s">
        <v>125</v>
      </c>
      <c r="U140" s="32"/>
      <c r="V140" s="19" t="str">
        <f aca="false">IF(E140="","",R140-E140)</f>
        <v/>
      </c>
      <c r="W140" s="18" t="s">
        <v>98</v>
      </c>
      <c r="X140" s="4" t="n">
        <f aca="false">IF(AND(D140="Available",R140&gt;=55),ROW(),9999)</f>
        <v>9999</v>
      </c>
      <c r="Y140" s="4" t="n">
        <f aca="false">IF(AND(D140="Available",R140&gt;=40,R140&lt;55),ROW(),9999)</f>
        <v>9999</v>
      </c>
      <c r="Z140" s="4" t="n">
        <f aca="false">IF(AND(D140="Available",R140&gt;=25,R140&lt;40),ROW(),9999)</f>
        <v>9999</v>
      </c>
      <c r="AA140" s="35" t="n">
        <f aca="false">IF(K140="","",IF(L140="",K140,ROUND(AVERAGE(K140,L140),0)))</f>
        <v>98</v>
      </c>
    </row>
    <row r="141" customFormat="false" ht="15" hidden="false" customHeight="false" outlineLevel="0" collapsed="false">
      <c r="A141" s="18" t="s">
        <v>288</v>
      </c>
      <c r="B141" s="19" t="n">
        <f aca="false">R141-N141</f>
        <v>2</v>
      </c>
      <c r="C141" s="18" t="str">
        <f aca="false">IF(B141&gt;=5,"SMASH BUY",IF(B141&gt;=2,"BUY",IF(B141&gt;=-1,"NEUTRAL",IF(B141&gt;=-4,"AVOID","DO NOT BID"))))</f>
        <v>BUY</v>
      </c>
      <c r="D141" s="18" t="str">
        <f aca="false">IF(COUNTIFS('Auction Log'!$B$5:$B$304,A141,'Auction Log'!$D$5:$D$304,"&lt;&gt;",'Auction Log'!$E$5:$E$304,"&gt;0")=0,"Available",IFERROR(INDEX('Auction Log'!$D$5:$D$304,MATCH(1,('Auction Log'!$B$5:$B$304=A141)*('Auction Log'!$D$5:$D$304&lt;&gt;"")*('Auction Log'!$E$5:$E$304&gt;0),0)),"SOLD"))</f>
        <v>Available</v>
      </c>
      <c r="E141" s="19" t="str">
        <f aca="false">IF(COUNTIFS('Auction Log'!$B$5:$B$304,A141,'Auction Log'!$D$5:$D$304,"&lt;&gt;",'Auction Log'!$E$5:$E$304,"&gt;0")=0,"",IFERROR(INDEX('Auction Log'!$E$5:$E$304,MATCH(1,('Auction Log'!$B$5:$B$304=A141)*('Auction Log'!$D$5:$D$304&lt;&gt;"")*('Auction Log'!$E$5:$E$304&gt;0),0)),""))</f>
        <v/>
      </c>
      <c r="F141" s="18" t="s">
        <v>144</v>
      </c>
      <c r="G141" s="18" t="s">
        <v>21</v>
      </c>
      <c r="H141" s="18" t="n">
        <v>7</v>
      </c>
      <c r="I141" s="18" t="n">
        <v>145</v>
      </c>
      <c r="J141" s="18" t="n">
        <v>9</v>
      </c>
      <c r="K141" s="36" t="n">
        <v>84</v>
      </c>
      <c r="L141" s="36" t="n">
        <v>94</v>
      </c>
      <c r="M141" s="19" t="n">
        <v>1</v>
      </c>
      <c r="N141" s="19" t="n">
        <v>2</v>
      </c>
      <c r="O141" s="19" t="n">
        <v>2</v>
      </c>
      <c r="P141" s="19" t="n">
        <v>0</v>
      </c>
      <c r="Q141" s="19" t="n">
        <v>0</v>
      </c>
      <c r="R141" s="19" t="n">
        <v>4</v>
      </c>
      <c r="S141" s="19" t="n">
        <v>3</v>
      </c>
      <c r="T141" s="18" t="s">
        <v>125</v>
      </c>
      <c r="U141" s="32"/>
      <c r="V141" s="19" t="str">
        <f aca="false">IF(E141="","",R141-E141)</f>
        <v/>
      </c>
      <c r="W141" s="18" t="s">
        <v>98</v>
      </c>
      <c r="X141" s="4" t="n">
        <f aca="false">IF(AND(D141="Available",R141&gt;=55),ROW(),9999)</f>
        <v>9999</v>
      </c>
      <c r="Y141" s="4" t="n">
        <f aca="false">IF(AND(D141="Available",R141&gt;=40,R141&lt;55),ROW(),9999)</f>
        <v>9999</v>
      </c>
      <c r="Z141" s="4" t="n">
        <f aca="false">IF(AND(D141="Available",R141&gt;=25,R141&lt;40),ROW(),9999)</f>
        <v>9999</v>
      </c>
      <c r="AA141" s="35" t="n">
        <f aca="false">IF(K141="","",IF(L141="",K141,ROUND(AVERAGE(K141,L141),0)))</f>
        <v>89</v>
      </c>
    </row>
    <row r="142" customFormat="false" ht="15" hidden="false" customHeight="false" outlineLevel="0" collapsed="false">
      <c r="A142" s="18" t="s">
        <v>289</v>
      </c>
      <c r="B142" s="19" t="n">
        <f aca="false">R142-N142</f>
        <v>1</v>
      </c>
      <c r="C142" s="18" t="str">
        <f aca="false">IF(B142&gt;=5,"SMASH BUY",IF(B142&gt;=2,"BUY",IF(B142&gt;=-1,"NEUTRAL",IF(B142&gt;=-4,"AVOID","DO NOT BID"))))</f>
        <v>NEUTRAL</v>
      </c>
      <c r="D142" s="18" t="str">
        <f aca="false">IF(COUNTIFS('Auction Log'!$B$5:$B$304,A142,'Auction Log'!$D$5:$D$304,"&lt;&gt;",'Auction Log'!$E$5:$E$304,"&gt;0")=0,"Available",IFERROR(INDEX('Auction Log'!$D$5:$D$304,MATCH(1,('Auction Log'!$B$5:$B$304=A142)*('Auction Log'!$D$5:$D$304&lt;&gt;"")*('Auction Log'!$E$5:$E$304&gt;0),0)),"SOLD"))</f>
        <v>Available</v>
      </c>
      <c r="E142" s="19" t="str">
        <f aca="false">IF(COUNTIFS('Auction Log'!$B$5:$B$304,A142,'Auction Log'!$D$5:$D$304,"&lt;&gt;",'Auction Log'!$E$5:$E$304,"&gt;0")=0,"",IFERROR(INDEX('Auction Log'!$E$5:$E$304,MATCH(1,('Auction Log'!$B$5:$B$304=A142)*('Auction Log'!$D$5:$D$304&lt;&gt;"")*('Auction Log'!$E$5:$E$304&gt;0),0)),""))</f>
        <v/>
      </c>
      <c r="F142" s="18" t="s">
        <v>150</v>
      </c>
      <c r="G142" s="18" t="s">
        <v>21</v>
      </c>
      <c r="H142" s="18" t="n">
        <v>8</v>
      </c>
      <c r="I142" s="18" t="n">
        <v>146</v>
      </c>
      <c r="J142" s="18" t="n">
        <v>9</v>
      </c>
      <c r="K142" s="36" t="n">
        <v>103</v>
      </c>
      <c r="L142" s="36" t="n">
        <v>67</v>
      </c>
      <c r="M142" s="19" t="n">
        <v>0</v>
      </c>
      <c r="N142" s="19" t="n">
        <v>3</v>
      </c>
      <c r="O142" s="19" t="n">
        <v>1</v>
      </c>
      <c r="P142" s="19" t="n">
        <v>0</v>
      </c>
      <c r="Q142" s="19" t="n">
        <v>0</v>
      </c>
      <c r="R142" s="19" t="n">
        <v>4</v>
      </c>
      <c r="S142" s="19" t="n">
        <v>3</v>
      </c>
      <c r="T142" s="18" t="s">
        <v>125</v>
      </c>
      <c r="U142" s="32"/>
      <c r="V142" s="19" t="str">
        <f aca="false">IF(E142="","",R142-E142)</f>
        <v/>
      </c>
      <c r="W142" s="18" t="s">
        <v>98</v>
      </c>
      <c r="X142" s="4" t="n">
        <f aca="false">IF(AND(D142="Available",R142&gt;=55),ROW(),9999)</f>
        <v>9999</v>
      </c>
      <c r="Y142" s="4" t="n">
        <f aca="false">IF(AND(D142="Available",R142&gt;=40,R142&lt;55),ROW(),9999)</f>
        <v>9999</v>
      </c>
      <c r="Z142" s="4" t="n">
        <f aca="false">IF(AND(D142="Available",R142&gt;=25,R142&lt;40),ROW(),9999)</f>
        <v>9999</v>
      </c>
      <c r="AA142" s="35" t="n">
        <f aca="false">IF(K142="","",IF(L142="",K142,ROUND(AVERAGE(K142,L142),0)))</f>
        <v>85</v>
      </c>
    </row>
    <row r="143" customFormat="false" ht="15" hidden="false" customHeight="false" outlineLevel="0" collapsed="false">
      <c r="A143" s="18" t="s">
        <v>290</v>
      </c>
      <c r="B143" s="19" t="n">
        <f aca="false">R143-N143</f>
        <v>2</v>
      </c>
      <c r="C143" s="18" t="str">
        <f aca="false">IF(B143&gt;=5,"SMASH BUY",IF(B143&gt;=2,"BUY",IF(B143&gt;=-1,"NEUTRAL",IF(B143&gt;=-4,"AVOID","DO NOT BID"))))</f>
        <v>BUY</v>
      </c>
      <c r="D143" s="18" t="str">
        <f aca="false">IF(COUNTIFS('Auction Log'!$B$5:$B$304,A143,'Auction Log'!$D$5:$D$304,"&lt;&gt;",'Auction Log'!$E$5:$E$304,"&gt;0")=0,"Available",IFERROR(INDEX('Auction Log'!$D$5:$D$304,MATCH(1,('Auction Log'!$B$5:$B$304=A143)*('Auction Log'!$D$5:$D$304&lt;&gt;"")*('Auction Log'!$E$5:$E$304&gt;0),0)),"SOLD"))</f>
        <v>Available</v>
      </c>
      <c r="E143" s="19" t="str">
        <f aca="false">IF(COUNTIFS('Auction Log'!$B$5:$B$304,A143,'Auction Log'!$D$5:$D$304,"&lt;&gt;",'Auction Log'!$E$5:$E$304,"&gt;0")=0,"",IFERROR(INDEX('Auction Log'!$E$5:$E$304,MATCH(1,('Auction Log'!$B$5:$B$304=A143)*('Auction Log'!$D$5:$D$304&lt;&gt;"")*('Auction Log'!$E$5:$E$304&gt;0),0)),""))</f>
        <v/>
      </c>
      <c r="F143" s="18" t="s">
        <v>120</v>
      </c>
      <c r="G143" s="18" t="s">
        <v>16</v>
      </c>
      <c r="H143" s="18" t="n">
        <v>6</v>
      </c>
      <c r="I143" s="18" t="n">
        <v>130</v>
      </c>
      <c r="J143" s="18" t="n">
        <v>8</v>
      </c>
      <c r="K143" s="36" t="n">
        <v>272</v>
      </c>
      <c r="L143" s="36" t="n">
        <v>239</v>
      </c>
      <c r="M143" s="19" t="n">
        <v>1</v>
      </c>
      <c r="N143" s="19" t="n">
        <v>1</v>
      </c>
      <c r="O143" s="19" t="n">
        <v>4</v>
      </c>
      <c r="P143" s="19" t="n">
        <v>-2</v>
      </c>
      <c r="Q143" s="19" t="n">
        <v>0</v>
      </c>
      <c r="R143" s="19" t="n">
        <v>3</v>
      </c>
      <c r="S143" s="19" t="n">
        <v>2</v>
      </c>
      <c r="T143" s="18" t="s">
        <v>291</v>
      </c>
      <c r="U143" s="32"/>
      <c r="V143" s="19" t="str">
        <f aca="false">IF(E143="","",R143-E143)</f>
        <v/>
      </c>
      <c r="W143" s="18" t="s">
        <v>98</v>
      </c>
      <c r="X143" s="4" t="n">
        <f aca="false">IF(AND(D143="Available",R143&gt;=55),ROW(),9999)</f>
        <v>9999</v>
      </c>
      <c r="Y143" s="4" t="n">
        <f aca="false">IF(AND(D143="Available",R143&gt;=40,R143&lt;55),ROW(),9999)</f>
        <v>9999</v>
      </c>
      <c r="Z143" s="4" t="n">
        <f aca="false">IF(AND(D143="Available",R143&gt;=25,R143&lt;40),ROW(),9999)</f>
        <v>9999</v>
      </c>
      <c r="AA143" s="35" t="n">
        <f aca="false">IF(K143="","",IF(L143="",K143,ROUND(AVERAGE(K143,L143),0)))</f>
        <v>256</v>
      </c>
    </row>
    <row r="144" customFormat="false" ht="15" hidden="false" customHeight="false" outlineLevel="0" collapsed="false">
      <c r="A144" s="18" t="s">
        <v>292</v>
      </c>
      <c r="B144" s="19" t="n">
        <f aca="false">R144-N144</f>
        <v>-3</v>
      </c>
      <c r="C144" s="18" t="str">
        <f aca="false">IF(B144&gt;=5,"SMASH BUY",IF(B144&gt;=2,"BUY",IF(B144&gt;=-1,"NEUTRAL",IF(B144&gt;=-4,"AVOID","DO NOT BID"))))</f>
        <v>AVOID</v>
      </c>
      <c r="D144" s="18" t="str">
        <f aca="false">IF(COUNTIFS('Auction Log'!$B$5:$B$304,A144,'Auction Log'!$D$5:$D$304,"&lt;&gt;",'Auction Log'!$E$5:$E$304,"&gt;0")=0,"Available",IFERROR(INDEX('Auction Log'!$D$5:$D$304,MATCH(1,('Auction Log'!$B$5:$B$304=A144)*('Auction Log'!$D$5:$D$304&lt;&gt;"")*('Auction Log'!$E$5:$E$304&gt;0),0)),"SOLD"))</f>
        <v>Available</v>
      </c>
      <c r="E144" s="19" t="str">
        <f aca="false">IF(COUNTIFS('Auction Log'!$B$5:$B$304,A144,'Auction Log'!$D$5:$D$304,"&lt;&gt;",'Auction Log'!$E$5:$E$304,"&gt;0")=0,"",IFERROR(INDEX('Auction Log'!$E$5:$E$304,MATCH(1,('Auction Log'!$B$5:$B$304=A144)*('Auction Log'!$D$5:$D$304&lt;&gt;"")*('Auction Log'!$E$5:$E$304&gt;0),0)),""))</f>
        <v/>
      </c>
      <c r="F144" s="18" t="s">
        <v>111</v>
      </c>
      <c r="G144" s="18" t="s">
        <v>26</v>
      </c>
      <c r="H144" s="18" t="n">
        <v>8</v>
      </c>
      <c r="I144" s="18" t="n">
        <v>141</v>
      </c>
      <c r="J144" s="18" t="n">
        <v>9</v>
      </c>
      <c r="K144" s="36" t="n">
        <v>151</v>
      </c>
      <c r="L144" s="36" t="n">
        <v>130</v>
      </c>
      <c r="M144" s="19" t="n">
        <v>1</v>
      </c>
      <c r="N144" s="19" t="n">
        <v>6</v>
      </c>
      <c r="O144" s="19" t="n">
        <v>-2</v>
      </c>
      <c r="P144" s="19" t="n">
        <v>-1</v>
      </c>
      <c r="Q144" s="19" t="n">
        <v>0</v>
      </c>
      <c r="R144" s="19" t="n">
        <v>3</v>
      </c>
      <c r="S144" s="19" t="n">
        <v>2</v>
      </c>
      <c r="T144" s="18" t="s">
        <v>291</v>
      </c>
      <c r="U144" s="32"/>
      <c r="V144" s="19" t="str">
        <f aca="false">IF(E144="","",R144-E144)</f>
        <v/>
      </c>
      <c r="W144" s="18" t="s">
        <v>98</v>
      </c>
      <c r="X144" s="4" t="n">
        <f aca="false">IF(AND(D144="Available",R144&gt;=55),ROW(),9999)</f>
        <v>9999</v>
      </c>
      <c r="Y144" s="4" t="n">
        <f aca="false">IF(AND(D144="Available",R144&gt;=40,R144&lt;55),ROW(),9999)</f>
        <v>9999</v>
      </c>
      <c r="Z144" s="4" t="n">
        <f aca="false">IF(AND(D144="Available",R144&gt;=25,R144&lt;40),ROW(),9999)</f>
        <v>9999</v>
      </c>
      <c r="AA144" s="35" t="n">
        <f aca="false">IF(K144="","",IF(L144="",K144,ROUND(AVERAGE(K144,L144),0)))</f>
        <v>141</v>
      </c>
    </row>
    <row r="145" customFormat="false" ht="15" hidden="false" customHeight="false" outlineLevel="0" collapsed="false">
      <c r="A145" s="18" t="s">
        <v>293</v>
      </c>
      <c r="B145" s="19" t="n">
        <f aca="false">R145-N145</f>
        <v>1</v>
      </c>
      <c r="C145" s="18" t="str">
        <f aca="false">IF(B145&gt;=5,"SMASH BUY",IF(B145&gt;=2,"BUY",IF(B145&gt;=-1,"NEUTRAL",IF(B145&gt;=-4,"AVOID","DO NOT BID"))))</f>
        <v>NEUTRAL</v>
      </c>
      <c r="D145" s="18" t="str">
        <f aca="false">IF(COUNTIFS('Auction Log'!$B$5:$B$304,A145,'Auction Log'!$D$5:$D$304,"&lt;&gt;",'Auction Log'!$E$5:$E$304,"&gt;0")=0,"Available",IFERROR(INDEX('Auction Log'!$D$5:$D$304,MATCH(1,('Auction Log'!$B$5:$B$304=A145)*('Auction Log'!$D$5:$D$304&lt;&gt;"")*('Auction Log'!$E$5:$E$304&gt;0),0)),"SOLD"))</f>
        <v>Available</v>
      </c>
      <c r="E145" s="19" t="str">
        <f aca="false">IF(COUNTIFS('Auction Log'!$B$5:$B$304,A145,'Auction Log'!$D$5:$D$304,"&lt;&gt;",'Auction Log'!$E$5:$E$304,"&gt;0")=0,"",IFERROR(INDEX('Auction Log'!$E$5:$E$304,MATCH(1,('Auction Log'!$B$5:$B$304=A145)*('Auction Log'!$D$5:$D$304&lt;&gt;"")*('Auction Log'!$E$5:$E$304&gt;0),0)),""))</f>
        <v/>
      </c>
      <c r="F145" s="18" t="s">
        <v>113</v>
      </c>
      <c r="G145" s="18" t="s">
        <v>16</v>
      </c>
      <c r="H145" s="18" t="n">
        <v>13</v>
      </c>
      <c r="I145" s="18" t="n">
        <v>142</v>
      </c>
      <c r="J145" s="18" t="n">
        <v>9</v>
      </c>
      <c r="K145" s="36" t="n">
        <v>275</v>
      </c>
      <c r="L145" s="36" t="n">
        <v>267</v>
      </c>
      <c r="M145" s="19" t="n">
        <v>1</v>
      </c>
      <c r="N145" s="19" t="n">
        <v>2</v>
      </c>
      <c r="O145" s="19" t="n">
        <v>2</v>
      </c>
      <c r="P145" s="19" t="n">
        <v>-1</v>
      </c>
      <c r="Q145" s="19" t="n">
        <v>0</v>
      </c>
      <c r="R145" s="19" t="n">
        <v>3</v>
      </c>
      <c r="S145" s="19" t="n">
        <v>2</v>
      </c>
      <c r="T145" s="18" t="s">
        <v>291</v>
      </c>
      <c r="U145" s="32"/>
      <c r="V145" s="19" t="str">
        <f aca="false">IF(E145="","",R145-E145)</f>
        <v/>
      </c>
      <c r="W145" s="18" t="s">
        <v>98</v>
      </c>
      <c r="X145" s="4" t="n">
        <f aca="false">IF(AND(D145="Available",R145&gt;=55),ROW(),9999)</f>
        <v>9999</v>
      </c>
      <c r="Y145" s="4" t="n">
        <f aca="false">IF(AND(D145="Available",R145&gt;=40,R145&lt;55),ROW(),9999)</f>
        <v>9999</v>
      </c>
      <c r="Z145" s="4" t="n">
        <f aca="false">IF(AND(D145="Available",R145&gt;=25,R145&lt;40),ROW(),9999)</f>
        <v>9999</v>
      </c>
      <c r="AA145" s="35" t="n">
        <f aca="false">IF(K145="","",IF(L145="",K145,ROUND(AVERAGE(K145,L145),0)))</f>
        <v>271</v>
      </c>
    </row>
    <row r="146" customFormat="false" ht="15" hidden="false" customHeight="false" outlineLevel="0" collapsed="false">
      <c r="A146" s="18" t="s">
        <v>294</v>
      </c>
      <c r="B146" s="19" t="n">
        <f aca="false">R146-N146</f>
        <v>-4</v>
      </c>
      <c r="C146" s="18" t="str">
        <f aca="false">IF(B146&gt;=5,"SMASH BUY",IF(B146&gt;=2,"BUY",IF(B146&gt;=-1,"NEUTRAL",IF(B146&gt;=-4,"AVOID","DO NOT BID"))))</f>
        <v>AVOID</v>
      </c>
      <c r="D146" s="18" t="str">
        <f aca="false">IF(COUNTIFS('Auction Log'!$B$5:$B$304,A146,'Auction Log'!$D$5:$D$304,"&lt;&gt;",'Auction Log'!$E$5:$E$304,"&gt;0")=0,"Available",IFERROR(INDEX('Auction Log'!$D$5:$D$304,MATCH(1,('Auction Log'!$B$5:$B$304=A146)*('Auction Log'!$D$5:$D$304&lt;&gt;"")*('Auction Log'!$E$5:$E$304&gt;0),0)),"SOLD"))</f>
        <v>Available</v>
      </c>
      <c r="E146" s="19" t="str">
        <f aca="false">IF(COUNTIFS('Auction Log'!$B$5:$B$304,A146,'Auction Log'!$D$5:$D$304,"&lt;&gt;",'Auction Log'!$E$5:$E$304,"&gt;0")=0,"",IFERROR(INDEX('Auction Log'!$E$5:$E$304,MATCH(1,('Auction Log'!$B$5:$B$304=A146)*('Auction Log'!$D$5:$D$304&lt;&gt;"")*('Auction Log'!$E$5:$E$304&gt;0),0)),""))</f>
        <v/>
      </c>
      <c r="F146" s="18" t="s">
        <v>185</v>
      </c>
      <c r="G146" s="18" t="s">
        <v>26</v>
      </c>
      <c r="H146" s="18" t="n">
        <v>11</v>
      </c>
      <c r="I146" s="18" t="n">
        <v>143</v>
      </c>
      <c r="J146" s="18" t="n">
        <v>9</v>
      </c>
      <c r="K146" s="36" t="n">
        <v>151</v>
      </c>
      <c r="L146" s="36" t="n">
        <v>141</v>
      </c>
      <c r="M146" s="19" t="n">
        <v>1</v>
      </c>
      <c r="N146" s="19" t="n">
        <v>7</v>
      </c>
      <c r="O146" s="19" t="n">
        <v>-3</v>
      </c>
      <c r="P146" s="19" t="n">
        <v>-1</v>
      </c>
      <c r="Q146" s="19" t="n">
        <v>0</v>
      </c>
      <c r="R146" s="19" t="n">
        <v>3</v>
      </c>
      <c r="S146" s="19" t="n">
        <v>2</v>
      </c>
      <c r="T146" s="18" t="s">
        <v>291</v>
      </c>
      <c r="U146" s="32"/>
      <c r="V146" s="19" t="str">
        <f aca="false">IF(E146="","",R146-E146)</f>
        <v/>
      </c>
      <c r="W146" s="18" t="s">
        <v>98</v>
      </c>
      <c r="X146" s="4" t="n">
        <f aca="false">IF(AND(D146="Available",R146&gt;=55),ROW(),9999)</f>
        <v>9999</v>
      </c>
      <c r="Y146" s="4" t="n">
        <f aca="false">IF(AND(D146="Available",R146&gt;=40,R146&lt;55),ROW(),9999)</f>
        <v>9999</v>
      </c>
      <c r="Z146" s="4" t="n">
        <f aca="false">IF(AND(D146="Available",R146&gt;=25,R146&lt;40),ROW(),9999)</f>
        <v>9999</v>
      </c>
      <c r="AA146" s="35" t="n">
        <f aca="false">IF(K146="","",IF(L146="",K146,ROUND(AVERAGE(K146,L146),0)))</f>
        <v>146</v>
      </c>
    </row>
    <row r="147" customFormat="false" ht="15" hidden="false" customHeight="false" outlineLevel="0" collapsed="false">
      <c r="A147" s="18" t="s">
        <v>295</v>
      </c>
      <c r="B147" s="19" t="n">
        <f aca="false">R147-N147</f>
        <v>-5</v>
      </c>
      <c r="C147" s="18" t="str">
        <f aca="false">IF(B147&gt;=5,"SMASH BUY",IF(B147&gt;=2,"BUY",IF(B147&gt;=-1,"NEUTRAL",IF(B147&gt;=-4,"AVOID","DO NOT BID"))))</f>
        <v>DO NOT BID</v>
      </c>
      <c r="D147" s="18" t="str">
        <f aca="false">IF(COUNTIFS('Auction Log'!$B$5:$B$304,A147,'Auction Log'!$D$5:$D$304,"&lt;&gt;",'Auction Log'!$E$5:$E$304,"&gt;0")=0,"Available",IFERROR(INDEX('Auction Log'!$D$5:$D$304,MATCH(1,('Auction Log'!$B$5:$B$304=A147)*('Auction Log'!$D$5:$D$304&lt;&gt;"")*('Auction Log'!$E$5:$E$304&gt;0),0)),"SOLD"))</f>
        <v>Available</v>
      </c>
      <c r="E147" s="19" t="str">
        <f aca="false">IF(COUNTIFS('Auction Log'!$B$5:$B$304,A147,'Auction Log'!$D$5:$D$304,"&lt;&gt;",'Auction Log'!$E$5:$E$304,"&gt;0")=0,"",IFERROR(INDEX('Auction Log'!$E$5:$E$304,MATCH(1,('Auction Log'!$B$5:$B$304=A147)*('Auction Log'!$D$5:$D$304&lt;&gt;"")*('Auction Log'!$E$5:$E$304&gt;0),0)),""))</f>
        <v/>
      </c>
      <c r="F147" s="18" t="s">
        <v>104</v>
      </c>
      <c r="G147" s="18" t="s">
        <v>26</v>
      </c>
      <c r="H147" s="18" t="n">
        <v>11</v>
      </c>
      <c r="I147" s="18" t="n">
        <v>144</v>
      </c>
      <c r="J147" s="18" t="n">
        <v>9</v>
      </c>
      <c r="K147" s="36" t="n">
        <v>157</v>
      </c>
      <c r="L147" s="36" t="n">
        <v>144</v>
      </c>
      <c r="M147" s="19" t="n">
        <v>1</v>
      </c>
      <c r="N147" s="19" t="n">
        <v>8</v>
      </c>
      <c r="O147" s="19" t="n">
        <v>-4</v>
      </c>
      <c r="P147" s="19" t="n">
        <v>-1</v>
      </c>
      <c r="Q147" s="19" t="n">
        <v>0</v>
      </c>
      <c r="R147" s="19" t="n">
        <v>3</v>
      </c>
      <c r="S147" s="19" t="n">
        <v>2</v>
      </c>
      <c r="T147" s="18" t="s">
        <v>291</v>
      </c>
      <c r="U147" s="32"/>
      <c r="V147" s="19" t="str">
        <f aca="false">IF(E147="","",R147-E147)</f>
        <v/>
      </c>
      <c r="W147" s="18" t="s">
        <v>98</v>
      </c>
      <c r="X147" s="4" t="n">
        <f aca="false">IF(AND(D147="Available",R147&gt;=55),ROW(),9999)</f>
        <v>9999</v>
      </c>
      <c r="Y147" s="4" t="n">
        <f aca="false">IF(AND(D147="Available",R147&gt;=40,R147&lt;55),ROW(),9999)</f>
        <v>9999</v>
      </c>
      <c r="Z147" s="4" t="n">
        <f aca="false">IF(AND(D147="Available",R147&gt;=25,R147&lt;40),ROW(),9999)</f>
        <v>9999</v>
      </c>
      <c r="AA147" s="35" t="n">
        <f aca="false">IF(K147="","",IF(L147="",K147,ROUND(AVERAGE(K147,L147),0)))</f>
        <v>151</v>
      </c>
    </row>
    <row r="148" customFormat="false" ht="15" hidden="false" customHeight="false" outlineLevel="0" collapsed="false">
      <c r="A148" s="18" t="s">
        <v>296</v>
      </c>
      <c r="B148" s="19" t="n">
        <f aca="false">R148-N148</f>
        <v>-2</v>
      </c>
      <c r="C148" s="18" t="str">
        <f aca="false">IF(B148&gt;=5,"SMASH BUY",IF(B148&gt;=2,"BUY",IF(B148&gt;=-1,"NEUTRAL",IF(B148&gt;=-4,"AVOID","DO NOT BID"))))</f>
        <v>AVOID</v>
      </c>
      <c r="D148" s="18" t="str">
        <f aca="false">IF(COUNTIFS('Auction Log'!$B$5:$B$304,A148,'Auction Log'!$D$5:$D$304,"&lt;&gt;",'Auction Log'!$E$5:$E$304,"&gt;0")=0,"Available",IFERROR(INDEX('Auction Log'!$D$5:$D$304,MATCH(1,('Auction Log'!$B$5:$B$304=A148)*('Auction Log'!$D$5:$D$304&lt;&gt;"")*('Auction Log'!$E$5:$E$304&gt;0),0)),"SOLD"))</f>
        <v>Available</v>
      </c>
      <c r="E148" s="19" t="str">
        <f aca="false">IF(COUNTIFS('Auction Log'!$B$5:$B$304,A148,'Auction Log'!$D$5:$D$304,"&lt;&gt;",'Auction Log'!$E$5:$E$304,"&gt;0")=0,"",IFERROR(INDEX('Auction Log'!$E$5:$E$304,MATCH(1,('Auction Log'!$B$5:$B$304=A148)*('Auction Log'!$D$5:$D$304&lt;&gt;"")*('Auction Log'!$E$5:$E$304&gt;0),0)),""))</f>
        <v/>
      </c>
      <c r="F148" s="18" t="s">
        <v>104</v>
      </c>
      <c r="G148" s="18" t="s">
        <v>21</v>
      </c>
      <c r="H148" s="18" t="n">
        <v>11</v>
      </c>
      <c r="I148" s="18" t="n">
        <v>148</v>
      </c>
      <c r="J148" s="18" t="n">
        <v>9</v>
      </c>
      <c r="K148" s="36" t="n">
        <v>123</v>
      </c>
      <c r="L148" s="36" t="n">
        <v>134</v>
      </c>
      <c r="M148" s="19" t="n">
        <v>1</v>
      </c>
      <c r="N148" s="19" t="n">
        <v>5</v>
      </c>
      <c r="O148" s="19" t="n">
        <v>-2</v>
      </c>
      <c r="P148" s="19" t="n">
        <v>0</v>
      </c>
      <c r="Q148" s="19" t="n">
        <v>0</v>
      </c>
      <c r="R148" s="19" t="n">
        <v>3</v>
      </c>
      <c r="S148" s="19" t="n">
        <v>2</v>
      </c>
      <c r="T148" s="18" t="s">
        <v>291</v>
      </c>
      <c r="U148" s="32" t="s">
        <v>297</v>
      </c>
      <c r="V148" s="19" t="str">
        <f aca="false">IF(E148="","",R148-E148)</f>
        <v/>
      </c>
      <c r="W148" s="18" t="s">
        <v>98</v>
      </c>
      <c r="X148" s="4" t="n">
        <f aca="false">IF(AND(D148="Available",R148&gt;=55),ROW(),9999)</f>
        <v>9999</v>
      </c>
      <c r="Y148" s="4" t="n">
        <f aca="false">IF(AND(D148="Available",R148&gt;=40,R148&lt;55),ROW(),9999)</f>
        <v>9999</v>
      </c>
      <c r="Z148" s="4" t="n">
        <f aca="false">IF(AND(D148="Available",R148&gt;=25,R148&lt;40),ROW(),9999)</f>
        <v>9999</v>
      </c>
      <c r="AA148" s="35" t="n">
        <f aca="false">IF(K148="","",IF(L148="",K148,ROUND(AVERAGE(K148,L148),0)))</f>
        <v>129</v>
      </c>
    </row>
    <row r="149" customFormat="false" ht="15" hidden="false" customHeight="false" outlineLevel="0" collapsed="false">
      <c r="A149" s="18" t="s">
        <v>298</v>
      </c>
      <c r="B149" s="19" t="n">
        <f aca="false">R149-N149</f>
        <v>-1</v>
      </c>
      <c r="C149" s="18" t="str">
        <f aca="false">IF(B149&gt;=5,"SMASH BUY",IF(B149&gt;=2,"BUY",IF(B149&gt;=-1,"NEUTRAL",IF(B149&gt;=-4,"AVOID","DO NOT BID"))))</f>
        <v>NEUTRAL</v>
      </c>
      <c r="D149" s="18" t="str">
        <f aca="false">IF(COUNTIFS('Auction Log'!$B$5:$B$304,A149,'Auction Log'!$D$5:$D$304,"&lt;&gt;",'Auction Log'!$E$5:$E$304,"&gt;0")=0,"Available",IFERROR(INDEX('Auction Log'!$D$5:$D$304,MATCH(1,('Auction Log'!$B$5:$B$304=A149)*('Auction Log'!$D$5:$D$304&lt;&gt;"")*('Auction Log'!$E$5:$E$304&gt;0),0)),"SOLD"))</f>
        <v>Available</v>
      </c>
      <c r="E149" s="19" t="str">
        <f aca="false">IF(COUNTIFS('Auction Log'!$B$5:$B$304,A149,'Auction Log'!$D$5:$D$304,"&lt;&gt;",'Auction Log'!$E$5:$E$304,"&gt;0")=0,"",IFERROR(INDEX('Auction Log'!$E$5:$E$304,MATCH(1,('Auction Log'!$B$5:$B$304=A149)*('Auction Log'!$D$5:$D$304&lt;&gt;"")*('Auction Log'!$E$5:$E$304&gt;0),0)),""))</f>
        <v/>
      </c>
      <c r="F149" s="18" t="s">
        <v>196</v>
      </c>
      <c r="G149" s="18" t="s">
        <v>30</v>
      </c>
      <c r="H149" s="18" t="n">
        <v>7</v>
      </c>
      <c r="I149" s="18" t="n">
        <v>150</v>
      </c>
      <c r="J149" s="18" t="n">
        <v>9</v>
      </c>
      <c r="K149" s="36" t="n">
        <v>152</v>
      </c>
      <c r="L149" s="36" t="n">
        <v>142</v>
      </c>
      <c r="M149" s="19" t="n">
        <v>0</v>
      </c>
      <c r="N149" s="19" t="n">
        <v>4</v>
      </c>
      <c r="O149" s="19" t="n">
        <v>-1</v>
      </c>
      <c r="P149" s="19" t="n">
        <v>0</v>
      </c>
      <c r="Q149" s="19" t="n">
        <v>0</v>
      </c>
      <c r="R149" s="19" t="n">
        <v>3</v>
      </c>
      <c r="S149" s="19" t="n">
        <v>2</v>
      </c>
      <c r="T149" s="18" t="s">
        <v>291</v>
      </c>
      <c r="U149" s="32"/>
      <c r="V149" s="19" t="str">
        <f aca="false">IF(E149="","",R149-E149)</f>
        <v/>
      </c>
      <c r="W149" s="18" t="s">
        <v>98</v>
      </c>
      <c r="X149" s="4" t="n">
        <f aca="false">IF(AND(D149="Available",R149&gt;=55),ROW(),9999)</f>
        <v>9999</v>
      </c>
      <c r="Y149" s="4" t="n">
        <f aca="false">IF(AND(D149="Available",R149&gt;=40,R149&lt;55),ROW(),9999)</f>
        <v>9999</v>
      </c>
      <c r="Z149" s="4" t="n">
        <f aca="false">IF(AND(D149="Available",R149&gt;=25,R149&lt;40),ROW(),9999)</f>
        <v>9999</v>
      </c>
      <c r="AA149" s="35" t="n">
        <f aca="false">IF(K149="","",IF(L149="",K149,ROUND(AVERAGE(K149,L149),0)))</f>
        <v>147</v>
      </c>
    </row>
    <row r="150" customFormat="false" ht="15" hidden="false" customHeight="false" outlineLevel="0" collapsed="false">
      <c r="A150" s="18" t="s">
        <v>299</v>
      </c>
      <c r="B150" s="19" t="n">
        <f aca="false">R150-N150</f>
        <v>-1</v>
      </c>
      <c r="C150" s="18" t="str">
        <f aca="false">IF(B150&gt;=5,"SMASH BUY",IF(B150&gt;=2,"BUY",IF(B150&gt;=-1,"NEUTRAL",IF(B150&gt;=-4,"AVOID","DO NOT BID"))))</f>
        <v>NEUTRAL</v>
      </c>
      <c r="D150" s="18" t="str">
        <f aca="false">IF(COUNTIFS('Auction Log'!$B$5:$B$304,A150,'Auction Log'!$D$5:$D$304,"&lt;&gt;",'Auction Log'!$E$5:$E$304,"&gt;0")=0,"Available",IFERROR(INDEX('Auction Log'!$D$5:$D$304,MATCH(1,('Auction Log'!$B$5:$B$304=A150)*('Auction Log'!$D$5:$D$304&lt;&gt;"")*('Auction Log'!$E$5:$E$304&gt;0),0)),"SOLD"))</f>
        <v>Available</v>
      </c>
      <c r="E150" s="19" t="str">
        <f aca="false">IF(COUNTIFS('Auction Log'!$B$5:$B$304,A150,'Auction Log'!$D$5:$D$304,"&lt;&gt;",'Auction Log'!$E$5:$E$304,"&gt;0")=0,"",IFERROR(INDEX('Auction Log'!$E$5:$E$304,MATCH(1,('Auction Log'!$B$5:$B$304=A150)*('Auction Log'!$D$5:$D$304&lt;&gt;"")*('Auction Log'!$E$5:$E$304&gt;0),0)),""))</f>
        <v/>
      </c>
      <c r="F150" s="18" t="s">
        <v>96</v>
      </c>
      <c r="G150" s="18" t="s">
        <v>21</v>
      </c>
      <c r="H150" s="18" t="n">
        <v>6</v>
      </c>
      <c r="I150" s="18" t="n">
        <v>153</v>
      </c>
      <c r="J150" s="18" t="n">
        <v>9</v>
      </c>
      <c r="K150" s="36" t="n">
        <v>116</v>
      </c>
      <c r="L150" s="36" t="n">
        <v>124</v>
      </c>
      <c r="M150" s="19" t="n">
        <v>1</v>
      </c>
      <c r="N150" s="19" t="n">
        <v>4</v>
      </c>
      <c r="O150" s="19" t="n">
        <v>-1</v>
      </c>
      <c r="P150" s="19" t="n">
        <v>0</v>
      </c>
      <c r="Q150" s="19" t="n">
        <v>0</v>
      </c>
      <c r="R150" s="19" t="n">
        <v>3</v>
      </c>
      <c r="S150" s="19" t="n">
        <v>2</v>
      </c>
      <c r="T150" s="18" t="s">
        <v>291</v>
      </c>
      <c r="U150" s="32" t="s">
        <v>300</v>
      </c>
      <c r="V150" s="19" t="str">
        <f aca="false">IF(E150="","",R150-E150)</f>
        <v/>
      </c>
      <c r="W150" s="18" t="s">
        <v>98</v>
      </c>
      <c r="X150" s="4" t="n">
        <f aca="false">IF(AND(D150="Available",R150&gt;=55),ROW(),9999)</f>
        <v>9999</v>
      </c>
      <c r="Y150" s="4" t="n">
        <f aca="false">IF(AND(D150="Available",R150&gt;=40,R150&lt;55),ROW(),9999)</f>
        <v>9999</v>
      </c>
      <c r="Z150" s="4" t="n">
        <f aca="false">IF(AND(D150="Available",R150&gt;=25,R150&lt;40),ROW(),9999)</f>
        <v>9999</v>
      </c>
      <c r="AA150" s="35" t="n">
        <f aca="false">IF(K150="","",IF(L150="",K150,ROUND(AVERAGE(K150,L150),0)))</f>
        <v>120</v>
      </c>
    </row>
    <row r="151" customFormat="false" ht="15" hidden="false" customHeight="false" outlineLevel="0" collapsed="false">
      <c r="A151" s="18" t="s">
        <v>301</v>
      </c>
      <c r="B151" s="19" t="n">
        <f aca="false">R151-N151</f>
        <v>-1</v>
      </c>
      <c r="C151" s="18" t="str">
        <f aca="false">IF(B151&gt;=5,"SMASH BUY",IF(B151&gt;=2,"BUY",IF(B151&gt;=-1,"NEUTRAL",IF(B151&gt;=-4,"AVOID","DO NOT BID"))))</f>
        <v>NEUTRAL</v>
      </c>
      <c r="D151" s="18" t="str">
        <f aca="false">IF(COUNTIFS('Auction Log'!$B$5:$B$304,A151,'Auction Log'!$D$5:$D$304,"&lt;&gt;",'Auction Log'!$E$5:$E$304,"&gt;0")=0,"Available",IFERROR(INDEX('Auction Log'!$D$5:$D$304,MATCH(1,('Auction Log'!$B$5:$B$304=A151)*('Auction Log'!$D$5:$D$304&lt;&gt;"")*('Auction Log'!$E$5:$E$304&gt;0),0)),"SOLD"))</f>
        <v>Available</v>
      </c>
      <c r="E151" s="19" t="str">
        <f aca="false">IF(COUNTIFS('Auction Log'!$B$5:$B$304,A151,'Auction Log'!$D$5:$D$304,"&lt;&gt;",'Auction Log'!$E$5:$E$304,"&gt;0")=0,"",IFERROR(INDEX('Auction Log'!$E$5:$E$304,MATCH(1,('Auction Log'!$B$5:$B$304=A151)*('Auction Log'!$D$5:$D$304&lt;&gt;"")*('Auction Log'!$E$5:$E$304&gt;0),0)),""))</f>
        <v/>
      </c>
      <c r="F151" s="18" t="s">
        <v>134</v>
      </c>
      <c r="G151" s="18" t="s">
        <v>30</v>
      </c>
      <c r="H151" s="18" t="n">
        <v>8</v>
      </c>
      <c r="I151" s="18" t="n">
        <v>156</v>
      </c>
      <c r="J151" s="18" t="n">
        <v>9</v>
      </c>
      <c r="K151" s="36" t="n">
        <v>148</v>
      </c>
      <c r="L151" s="36" t="n">
        <v>133</v>
      </c>
      <c r="M151" s="19" t="n">
        <v>0</v>
      </c>
      <c r="N151" s="19" t="n">
        <v>4</v>
      </c>
      <c r="O151" s="19" t="n">
        <v>-1</v>
      </c>
      <c r="P151" s="19" t="n">
        <v>0</v>
      </c>
      <c r="Q151" s="19" t="n">
        <v>0</v>
      </c>
      <c r="R151" s="19" t="n">
        <v>3</v>
      </c>
      <c r="S151" s="19" t="n">
        <v>2</v>
      </c>
      <c r="T151" s="18" t="s">
        <v>291</v>
      </c>
      <c r="U151" s="32"/>
      <c r="V151" s="19" t="str">
        <f aca="false">IF(E151="","",R151-E151)</f>
        <v/>
      </c>
      <c r="W151" s="18" t="s">
        <v>98</v>
      </c>
      <c r="X151" s="4" t="n">
        <f aca="false">IF(AND(D151="Available",R151&gt;=55),ROW(),9999)</f>
        <v>9999</v>
      </c>
      <c r="Y151" s="4" t="n">
        <f aca="false">IF(AND(D151="Available",R151&gt;=40,R151&lt;55),ROW(),9999)</f>
        <v>9999</v>
      </c>
      <c r="Z151" s="4" t="n">
        <f aca="false">IF(AND(D151="Available",R151&gt;=25,R151&lt;40),ROW(),9999)</f>
        <v>9999</v>
      </c>
      <c r="AA151" s="35" t="n">
        <f aca="false">IF(K151="","",IF(L151="",K151,ROUND(AVERAGE(K151,L151),0)))</f>
        <v>141</v>
      </c>
    </row>
    <row r="152" customFormat="false" ht="28.5" hidden="false" customHeight="true" outlineLevel="0" collapsed="false">
      <c r="A152" s="18" t="s">
        <v>302</v>
      </c>
      <c r="B152" s="19" t="n">
        <f aca="false">R152-N152</f>
        <v>-3</v>
      </c>
      <c r="C152" s="18" t="str">
        <f aca="false">IF(B152&gt;=5,"SMASH BUY",IF(B152&gt;=2,"BUY",IF(B152&gt;=-1,"NEUTRAL",IF(B152&gt;=-4,"AVOID","DO NOT BID"))))</f>
        <v>AVOID</v>
      </c>
      <c r="D152" s="18" t="str">
        <f aca="false">IF(COUNTIFS('Auction Log'!$B$5:$B$304,A152,'Auction Log'!$D$5:$D$304,"&lt;&gt;",'Auction Log'!$E$5:$E$304,"&gt;0")=0,"Available",IFERROR(INDEX('Auction Log'!$D$5:$D$304,MATCH(1,('Auction Log'!$B$5:$B$304=A152)*('Auction Log'!$D$5:$D$304&lt;&gt;"")*('Auction Log'!$E$5:$E$304&gt;0),0)),"SOLD"))</f>
        <v>Available</v>
      </c>
      <c r="E152" s="19" t="str">
        <f aca="false">IF(COUNTIFS('Auction Log'!$B$5:$B$304,A152,'Auction Log'!$D$5:$D$304,"&lt;&gt;",'Auction Log'!$E$5:$E$304,"&gt;0")=0,"",IFERROR(INDEX('Auction Log'!$E$5:$E$304,MATCH(1,('Auction Log'!$B$5:$B$304=A152)*('Auction Log'!$D$5:$D$304&lt;&gt;"")*('Auction Log'!$E$5:$E$304&gt;0),0)),""))</f>
        <v/>
      </c>
      <c r="F152" s="18" t="s">
        <v>128</v>
      </c>
      <c r="G152" s="18" t="s">
        <v>21</v>
      </c>
      <c r="H152" s="18" t="n">
        <v>8</v>
      </c>
      <c r="I152" s="18" t="n">
        <v>149</v>
      </c>
      <c r="J152" s="18" t="n">
        <v>9</v>
      </c>
      <c r="K152" s="36" t="n">
        <v>121</v>
      </c>
      <c r="L152" s="36" t="n">
        <v>117</v>
      </c>
      <c r="M152" s="19" t="n">
        <v>1</v>
      </c>
      <c r="N152" s="19" t="n">
        <v>5</v>
      </c>
      <c r="O152" s="19" t="n">
        <v>-2</v>
      </c>
      <c r="P152" s="19" t="n">
        <v>0</v>
      </c>
      <c r="Q152" s="19" t="n">
        <v>1</v>
      </c>
      <c r="R152" s="19" t="n">
        <v>2</v>
      </c>
      <c r="S152" s="19" t="n">
        <v>1</v>
      </c>
      <c r="T152" s="18" t="s">
        <v>291</v>
      </c>
      <c r="U152" s="32" t="s">
        <v>303</v>
      </c>
      <c r="V152" s="19" t="str">
        <f aca="false">IF(E152="","",R152-E152)</f>
        <v/>
      </c>
      <c r="W152" s="18" t="s">
        <v>98</v>
      </c>
      <c r="X152" s="4" t="n">
        <f aca="false">IF(AND(D152="Available",R152&gt;=55),ROW(),9999)</f>
        <v>9999</v>
      </c>
      <c r="Y152" s="4" t="n">
        <f aca="false">IF(AND(D152="Available",R152&gt;=40,R152&lt;55),ROW(),9999)</f>
        <v>9999</v>
      </c>
      <c r="Z152" s="4" t="n">
        <f aca="false">IF(AND(D152="Available",R152&gt;=25,R152&lt;40),ROW(),9999)</f>
        <v>9999</v>
      </c>
      <c r="AA152" s="35" t="n">
        <f aca="false">IF(K152="","",IF(L152="",K152,ROUND(AVERAGE(K152,L152),0)))</f>
        <v>119</v>
      </c>
    </row>
    <row r="153" customFormat="false" ht="15" hidden="false" customHeight="false" outlineLevel="0" collapsed="false">
      <c r="A153" s="18" t="s">
        <v>304</v>
      </c>
      <c r="B153" s="19" t="n">
        <f aca="false">R153-N153</f>
        <v>-3</v>
      </c>
      <c r="C153" s="18" t="str">
        <f aca="false">IF(B153&gt;=5,"SMASH BUY",IF(B153&gt;=2,"BUY",IF(B153&gt;=-1,"NEUTRAL",IF(B153&gt;=-4,"AVOID","DO NOT BID"))))</f>
        <v>AVOID</v>
      </c>
      <c r="D153" s="18" t="str">
        <f aca="false">IF(COUNTIFS('Auction Log'!$B$5:$B$304,A153,'Auction Log'!$D$5:$D$304,"&lt;&gt;",'Auction Log'!$E$5:$E$304,"&gt;0")=0,"Available",IFERROR(INDEX('Auction Log'!$D$5:$D$304,MATCH(1,('Auction Log'!$B$5:$B$304=A153)*('Auction Log'!$D$5:$D$304&lt;&gt;"")*('Auction Log'!$E$5:$E$304&gt;0),0)),"SOLD"))</f>
        <v>Available</v>
      </c>
      <c r="E153" s="19" t="str">
        <f aca="false">IF(COUNTIFS('Auction Log'!$B$5:$B$304,A153,'Auction Log'!$D$5:$D$304,"&lt;&gt;",'Auction Log'!$E$5:$E$304,"&gt;0")=0,"",IFERROR(INDEX('Auction Log'!$E$5:$E$304,MATCH(1,('Auction Log'!$B$5:$B$304=A153)*('Auction Log'!$D$5:$D$304&lt;&gt;"")*('Auction Log'!$E$5:$E$304&gt;0),0)),""))</f>
        <v/>
      </c>
      <c r="F153" s="18" t="s">
        <v>130</v>
      </c>
      <c r="G153" s="18" t="s">
        <v>30</v>
      </c>
      <c r="H153" s="18" t="n">
        <v>11</v>
      </c>
      <c r="I153" s="18" t="n">
        <v>154</v>
      </c>
      <c r="J153" s="18" t="n">
        <v>9</v>
      </c>
      <c r="K153" s="36" t="n">
        <v>153</v>
      </c>
      <c r="L153" s="36" t="n">
        <v>150</v>
      </c>
      <c r="M153" s="19" t="n">
        <v>2</v>
      </c>
      <c r="N153" s="19" t="n">
        <v>5</v>
      </c>
      <c r="O153" s="19" t="n">
        <v>-3</v>
      </c>
      <c r="P153" s="19" t="n">
        <v>0</v>
      </c>
      <c r="Q153" s="19" t="n">
        <v>0</v>
      </c>
      <c r="R153" s="19" t="n">
        <v>2</v>
      </c>
      <c r="S153" s="19" t="n">
        <v>1</v>
      </c>
      <c r="T153" s="18" t="s">
        <v>291</v>
      </c>
      <c r="U153" s="32"/>
      <c r="V153" s="19" t="str">
        <f aca="false">IF(E153="","",R153-E153)</f>
        <v/>
      </c>
      <c r="W153" s="18" t="s">
        <v>98</v>
      </c>
      <c r="X153" s="4" t="n">
        <f aca="false">IF(AND(D153="Available",R153&gt;=55),ROW(),9999)</f>
        <v>9999</v>
      </c>
      <c r="Y153" s="4" t="n">
        <f aca="false">IF(AND(D153="Available",R153&gt;=40,R153&lt;55),ROW(),9999)</f>
        <v>9999</v>
      </c>
      <c r="Z153" s="4" t="n">
        <f aca="false">IF(AND(D153="Available",R153&gt;=25,R153&lt;40),ROW(),9999)</f>
        <v>9999</v>
      </c>
      <c r="AA153" s="35" t="n">
        <f aca="false">IF(K153="","",IF(L153="",K153,ROUND(AVERAGE(K153,L153),0)))</f>
        <v>152</v>
      </c>
    </row>
    <row r="154" customFormat="false" ht="15" hidden="false" customHeight="false" outlineLevel="0" collapsed="false">
      <c r="A154" s="18" t="s">
        <v>305</v>
      </c>
      <c r="B154" s="19" t="n">
        <f aca="false">R154-N154</f>
        <v>1</v>
      </c>
      <c r="C154" s="18" t="str">
        <f aca="false">IF(B154&gt;=5,"SMASH BUY",IF(B154&gt;=2,"BUY",IF(B154&gt;=-1,"NEUTRAL",IF(B154&gt;=-4,"AVOID","DO NOT BID"))))</f>
        <v>NEUTRAL</v>
      </c>
      <c r="D154" s="18" t="str">
        <f aca="false">IF(COUNTIFS('Auction Log'!$B$5:$B$304,A154,'Auction Log'!$D$5:$D$304,"&lt;&gt;",'Auction Log'!$E$5:$E$304,"&gt;0")=0,"Available",IFERROR(INDEX('Auction Log'!$D$5:$D$304,MATCH(1,('Auction Log'!$B$5:$B$304=A154)*('Auction Log'!$D$5:$D$304&lt;&gt;"")*('Auction Log'!$E$5:$E$304&gt;0),0)),"SOLD"))</f>
        <v>Available</v>
      </c>
      <c r="E154" s="19" t="str">
        <f aca="false">IF(COUNTIFS('Auction Log'!$B$5:$B$304,A154,'Auction Log'!$D$5:$D$304,"&lt;&gt;",'Auction Log'!$E$5:$E$304,"&gt;0")=0,"",IFERROR(INDEX('Auction Log'!$E$5:$E$304,MATCH(1,('Auction Log'!$B$5:$B$304=A154)*('Auction Log'!$D$5:$D$304&lt;&gt;"")*('Auction Log'!$E$5:$E$304&gt;0),0)),""))</f>
        <v/>
      </c>
      <c r="F154" s="18" t="s">
        <v>148</v>
      </c>
      <c r="G154" s="18" t="s">
        <v>26</v>
      </c>
      <c r="H154" s="18" t="n">
        <v>13</v>
      </c>
      <c r="I154" s="18" t="n">
        <v>157</v>
      </c>
      <c r="J154" s="18" t="n">
        <v>9</v>
      </c>
      <c r="K154" s="36" t="n">
        <v>114</v>
      </c>
      <c r="L154" s="36" t="n">
        <v>127</v>
      </c>
      <c r="M154" s="19" t="n">
        <v>1</v>
      </c>
      <c r="N154" s="19" t="n">
        <v>1</v>
      </c>
      <c r="O154" s="19" t="n">
        <v>2</v>
      </c>
      <c r="P154" s="19" t="n">
        <v>-1</v>
      </c>
      <c r="Q154" s="19" t="n">
        <v>0</v>
      </c>
      <c r="R154" s="19" t="n">
        <v>2</v>
      </c>
      <c r="S154" s="19" t="n">
        <v>1</v>
      </c>
      <c r="T154" s="18" t="s">
        <v>291</v>
      </c>
      <c r="U154" s="32"/>
      <c r="V154" s="19" t="str">
        <f aca="false">IF(E154="","",R154-E154)</f>
        <v/>
      </c>
      <c r="W154" s="18" t="s">
        <v>98</v>
      </c>
      <c r="X154" s="4" t="n">
        <f aca="false">IF(AND(D154="Available",R154&gt;=55),ROW(),9999)</f>
        <v>9999</v>
      </c>
      <c r="Y154" s="4" t="n">
        <f aca="false">IF(AND(D154="Available",R154&gt;=40,R154&lt;55),ROW(),9999)</f>
        <v>9999</v>
      </c>
      <c r="Z154" s="4" t="n">
        <f aca="false">IF(AND(D154="Available",R154&gt;=25,R154&lt;40),ROW(),9999)</f>
        <v>9999</v>
      </c>
      <c r="AA154" s="35" t="n">
        <f aca="false">IF(K154="","",IF(L154="",K154,ROUND(AVERAGE(K154,L154),0)))</f>
        <v>121</v>
      </c>
    </row>
    <row r="155" customFormat="false" ht="15" hidden="false" customHeight="false" outlineLevel="0" collapsed="false">
      <c r="A155" s="18" t="s">
        <v>306</v>
      </c>
      <c r="B155" s="19" t="n">
        <f aca="false">R155-N155</f>
        <v>0</v>
      </c>
      <c r="C155" s="18" t="str">
        <f aca="false">IF(B155&gt;=5,"SMASH BUY",IF(B155&gt;=2,"BUY",IF(B155&gt;=-1,"NEUTRAL",IF(B155&gt;=-4,"AVOID","DO NOT BID"))))</f>
        <v>NEUTRAL</v>
      </c>
      <c r="D155" s="18" t="str">
        <f aca="false">IF(COUNTIFS('Auction Log'!$B$5:$B$304,A155,'Auction Log'!$D$5:$D$304,"&lt;&gt;",'Auction Log'!$E$5:$E$304,"&gt;0")=0,"Available",IFERROR(INDEX('Auction Log'!$D$5:$D$304,MATCH(1,('Auction Log'!$B$5:$B$304=A155)*('Auction Log'!$D$5:$D$304&lt;&gt;"")*('Auction Log'!$E$5:$E$304&gt;0),0)),"SOLD"))</f>
        <v>Available</v>
      </c>
      <c r="E155" s="19" t="str">
        <f aca="false">IF(COUNTIFS('Auction Log'!$B$5:$B$304,A155,'Auction Log'!$D$5:$D$304,"&lt;&gt;",'Auction Log'!$E$5:$E$304,"&gt;0")=0,"",IFERROR(INDEX('Auction Log'!$E$5:$E$304,MATCH(1,('Auction Log'!$B$5:$B$304=A155)*('Auction Log'!$D$5:$D$304&lt;&gt;"")*('Auction Log'!$E$5:$E$304&gt;0),0)),""))</f>
        <v/>
      </c>
      <c r="F155" s="18" t="s">
        <v>134</v>
      </c>
      <c r="G155" s="18" t="s">
        <v>34</v>
      </c>
      <c r="H155" s="18" t="n">
        <v>8</v>
      </c>
      <c r="I155" s="18" t="n">
        <v>160</v>
      </c>
      <c r="J155" s="18" t="n">
        <v>9</v>
      </c>
      <c r="K155" s="36" t="n">
        <v>120</v>
      </c>
      <c r="L155" s="36"/>
      <c r="M155" s="19" t="n">
        <v>0</v>
      </c>
      <c r="N155" s="19" t="n">
        <v>2</v>
      </c>
      <c r="O155" s="19" t="n">
        <v>0</v>
      </c>
      <c r="P155" s="19" t="n">
        <v>0</v>
      </c>
      <c r="Q155" s="19" t="n">
        <v>0</v>
      </c>
      <c r="R155" s="19" t="n">
        <v>2</v>
      </c>
      <c r="S155" s="19" t="n">
        <v>1</v>
      </c>
      <c r="T155" s="18" t="s">
        <v>291</v>
      </c>
      <c r="U155" s="32"/>
      <c r="V155" s="19" t="str">
        <f aca="false">IF(E155="","",R155-E155)</f>
        <v/>
      </c>
      <c r="W155" s="18" t="s">
        <v>98</v>
      </c>
      <c r="X155" s="4" t="n">
        <f aca="false">IF(AND(D155="Available",R155&gt;=55),ROW(),9999)</f>
        <v>9999</v>
      </c>
      <c r="Y155" s="4" t="n">
        <f aca="false">IF(AND(D155="Available",R155&gt;=40,R155&lt;55),ROW(),9999)</f>
        <v>9999</v>
      </c>
      <c r="Z155" s="4" t="n">
        <f aca="false">IF(AND(D155="Available",R155&gt;=25,R155&lt;40),ROW(),9999)</f>
        <v>9999</v>
      </c>
      <c r="AA155" s="35" t="n">
        <f aca="false">IF(K155="","",IF(L155="",K155,ROUND(AVERAGE(K155,L155),0)))</f>
        <v>120</v>
      </c>
    </row>
    <row r="156" customFormat="false" ht="15" hidden="false" customHeight="false" outlineLevel="0" collapsed="false">
      <c r="A156" s="18" t="s">
        <v>307</v>
      </c>
      <c r="B156" s="19" t="n">
        <f aca="false">R156-N156</f>
        <v>0</v>
      </c>
      <c r="C156" s="18" t="str">
        <f aca="false">IF(B156&gt;=5,"SMASH BUY",IF(B156&gt;=2,"BUY",IF(B156&gt;=-1,"NEUTRAL",IF(B156&gt;=-4,"AVOID","DO NOT BID"))))</f>
        <v>NEUTRAL</v>
      </c>
      <c r="D156" s="18" t="str">
        <f aca="false">IF(COUNTIFS('Auction Log'!$B$5:$B$304,A156,'Auction Log'!$D$5:$D$304,"&lt;&gt;",'Auction Log'!$E$5:$E$304,"&gt;0")=0,"Available",IFERROR(INDEX('Auction Log'!$D$5:$D$304,MATCH(1,('Auction Log'!$B$5:$B$304=A156)*('Auction Log'!$D$5:$D$304&lt;&gt;"")*('Auction Log'!$E$5:$E$304&gt;0),0)),"SOLD"))</f>
        <v>Available</v>
      </c>
      <c r="E156" s="19" t="str">
        <f aca="false">IF(COUNTIFS('Auction Log'!$B$5:$B$304,A156,'Auction Log'!$D$5:$D$304,"&lt;&gt;",'Auction Log'!$E$5:$E$304,"&gt;0")=0,"",IFERROR(INDEX('Auction Log'!$E$5:$E$304,MATCH(1,('Auction Log'!$B$5:$B$304=A156)*('Auction Log'!$D$5:$D$304&lt;&gt;"")*('Auction Log'!$E$5:$E$304&gt;0),0)),""))</f>
        <v/>
      </c>
      <c r="F156" s="18" t="s">
        <v>138</v>
      </c>
      <c r="G156" s="18" t="s">
        <v>21</v>
      </c>
      <c r="H156" s="18" t="n">
        <v>10</v>
      </c>
      <c r="I156" s="18" t="n">
        <v>163</v>
      </c>
      <c r="J156" s="18" t="n">
        <v>10</v>
      </c>
      <c r="K156" s="36" t="n">
        <v>82</v>
      </c>
      <c r="L156" s="36" t="n">
        <v>64</v>
      </c>
      <c r="M156" s="19" t="n">
        <v>1</v>
      </c>
      <c r="N156" s="19" t="n">
        <v>2</v>
      </c>
      <c r="O156" s="19" t="n">
        <v>0</v>
      </c>
      <c r="P156" s="19" t="n">
        <v>0</v>
      </c>
      <c r="Q156" s="19" t="n">
        <v>0</v>
      </c>
      <c r="R156" s="19" t="n">
        <v>2</v>
      </c>
      <c r="S156" s="19" t="n">
        <v>1</v>
      </c>
      <c r="T156" s="18" t="s">
        <v>291</v>
      </c>
      <c r="U156" s="32"/>
      <c r="V156" s="19" t="str">
        <f aca="false">IF(E156="","",R156-E156)</f>
        <v/>
      </c>
      <c r="W156" s="18" t="s">
        <v>98</v>
      </c>
      <c r="X156" s="4" t="n">
        <f aca="false">IF(AND(D156="Available",R156&gt;=55),ROW(),9999)</f>
        <v>9999</v>
      </c>
      <c r="Y156" s="4" t="n">
        <f aca="false">IF(AND(D156="Available",R156&gt;=40,R156&lt;55),ROW(),9999)</f>
        <v>9999</v>
      </c>
      <c r="Z156" s="4" t="n">
        <f aca="false">IF(AND(D156="Available",R156&gt;=25,R156&lt;40),ROW(),9999)</f>
        <v>9999</v>
      </c>
      <c r="AA156" s="35" t="n">
        <f aca="false">IF(K156="","",IF(L156="",K156,ROUND(AVERAGE(K156,L156),0)))</f>
        <v>73</v>
      </c>
    </row>
    <row r="157" customFormat="false" ht="15" hidden="false" customHeight="false" outlineLevel="0" collapsed="false">
      <c r="A157" s="18" t="s">
        <v>308</v>
      </c>
      <c r="B157" s="19" t="n">
        <f aca="false">R157-N157</f>
        <v>-1</v>
      </c>
      <c r="C157" s="18" t="str">
        <f aca="false">IF(B157&gt;=5,"SMASH BUY",IF(B157&gt;=2,"BUY",IF(B157&gt;=-1,"NEUTRAL",IF(B157&gt;=-4,"AVOID","DO NOT BID"))))</f>
        <v>NEUTRAL</v>
      </c>
      <c r="D157" s="18" t="str">
        <f aca="false">IF(COUNTIFS('Auction Log'!$B$5:$B$304,A157,'Auction Log'!$D$5:$D$304,"&lt;&gt;",'Auction Log'!$E$5:$E$304,"&gt;0")=0,"Available",IFERROR(INDEX('Auction Log'!$D$5:$D$304,MATCH(1,('Auction Log'!$B$5:$B$304=A157)*('Auction Log'!$D$5:$D$304&lt;&gt;"")*('Auction Log'!$E$5:$E$304&gt;0),0)),"SOLD"))</f>
        <v>Available</v>
      </c>
      <c r="E157" s="19" t="str">
        <f aca="false">IF(COUNTIFS('Auction Log'!$B$5:$B$304,A157,'Auction Log'!$D$5:$D$304,"&lt;&gt;",'Auction Log'!$E$5:$E$304,"&gt;0")=0,"",IFERROR(INDEX('Auction Log'!$E$5:$E$304,MATCH(1,('Auction Log'!$B$5:$B$304=A157)*('Auction Log'!$D$5:$D$304&lt;&gt;"")*('Auction Log'!$E$5:$E$304&gt;0),0)),""))</f>
        <v/>
      </c>
      <c r="F157" s="18" t="s">
        <v>148</v>
      </c>
      <c r="G157" s="18" t="s">
        <v>21</v>
      </c>
      <c r="H157" s="18" t="n">
        <v>13</v>
      </c>
      <c r="I157" s="18" t="n">
        <v>164</v>
      </c>
      <c r="J157" s="18" t="n">
        <v>10</v>
      </c>
      <c r="K157" s="36" t="n">
        <v>96</v>
      </c>
      <c r="L157" s="36" t="n">
        <v>77</v>
      </c>
      <c r="M157" s="19" t="n">
        <v>0</v>
      </c>
      <c r="N157" s="19" t="n">
        <v>3</v>
      </c>
      <c r="O157" s="19" t="n">
        <v>-1</v>
      </c>
      <c r="P157" s="19" t="n">
        <v>0</v>
      </c>
      <c r="Q157" s="19" t="n">
        <v>0</v>
      </c>
      <c r="R157" s="19" t="n">
        <v>2</v>
      </c>
      <c r="S157" s="19" t="n">
        <v>1</v>
      </c>
      <c r="T157" s="18" t="s">
        <v>291</v>
      </c>
      <c r="U157" s="32"/>
      <c r="V157" s="19" t="str">
        <f aca="false">IF(E157="","",R157-E157)</f>
        <v/>
      </c>
      <c r="W157" s="18" t="s">
        <v>98</v>
      </c>
      <c r="X157" s="4" t="n">
        <f aca="false">IF(AND(D157="Available",R157&gt;=55),ROW(),9999)</f>
        <v>9999</v>
      </c>
      <c r="Y157" s="4" t="n">
        <f aca="false">IF(AND(D157="Available",R157&gt;=40,R157&lt;55),ROW(),9999)</f>
        <v>9999</v>
      </c>
      <c r="Z157" s="4" t="n">
        <f aca="false">IF(AND(D157="Available",R157&gt;=25,R157&lt;40),ROW(),9999)</f>
        <v>9999</v>
      </c>
      <c r="AA157" s="35" t="n">
        <f aca="false">IF(K157="","",IF(L157="",K157,ROUND(AVERAGE(K157,L157),0)))</f>
        <v>87</v>
      </c>
    </row>
    <row r="158" customFormat="false" ht="15" hidden="false" customHeight="false" outlineLevel="0" collapsed="false">
      <c r="A158" s="18" t="s">
        <v>309</v>
      </c>
      <c r="B158" s="19" t="n">
        <f aca="false">R158-N158</f>
        <v>-1</v>
      </c>
      <c r="C158" s="18" t="str">
        <f aca="false">IF(B158&gt;=5,"SMASH BUY",IF(B158&gt;=2,"BUY",IF(B158&gt;=-1,"NEUTRAL",IF(B158&gt;=-4,"AVOID","DO NOT BID"))))</f>
        <v>NEUTRAL</v>
      </c>
      <c r="D158" s="18" t="str">
        <f aca="false">IF(COUNTIFS('Auction Log'!$B$5:$B$304,A158,'Auction Log'!$D$5:$D$304,"&lt;&gt;",'Auction Log'!$E$5:$E$304,"&gt;0")=0,"Available",IFERROR(INDEX('Auction Log'!$D$5:$D$304,MATCH(1,('Auction Log'!$B$5:$B$304=A158)*('Auction Log'!$D$5:$D$304&lt;&gt;"")*('Auction Log'!$E$5:$E$304&gt;0),0)),"SOLD"))</f>
        <v>Available</v>
      </c>
      <c r="E158" s="19" t="str">
        <f aca="false">IF(COUNTIFS('Auction Log'!$B$5:$B$304,A158,'Auction Log'!$D$5:$D$304,"&lt;&gt;",'Auction Log'!$E$5:$E$304,"&gt;0")=0,"",IFERROR(INDEX('Auction Log'!$E$5:$E$304,MATCH(1,('Auction Log'!$B$5:$B$304=A158)*('Auction Log'!$D$5:$D$304&lt;&gt;"")*('Auction Log'!$E$5:$E$304&gt;0),0)),""))</f>
        <v/>
      </c>
      <c r="F158" s="18" t="s">
        <v>141</v>
      </c>
      <c r="G158" s="18" t="s">
        <v>21</v>
      </c>
      <c r="H158" s="18" t="n">
        <v>13</v>
      </c>
      <c r="I158" s="18" t="n">
        <v>165</v>
      </c>
      <c r="J158" s="18" t="n">
        <v>10</v>
      </c>
      <c r="K158" s="36" t="n">
        <v>101</v>
      </c>
      <c r="L158" s="36" t="n">
        <v>65</v>
      </c>
      <c r="M158" s="19" t="n">
        <v>0</v>
      </c>
      <c r="N158" s="19" t="n">
        <v>3</v>
      </c>
      <c r="O158" s="19" t="n">
        <v>-1</v>
      </c>
      <c r="P158" s="19" t="n">
        <v>0</v>
      </c>
      <c r="Q158" s="19" t="n">
        <v>0</v>
      </c>
      <c r="R158" s="19" t="n">
        <v>2</v>
      </c>
      <c r="S158" s="19" t="n">
        <v>1</v>
      </c>
      <c r="T158" s="18" t="s">
        <v>291</v>
      </c>
      <c r="U158" s="32"/>
      <c r="V158" s="19" t="str">
        <f aca="false">IF(E158="","",R158-E158)</f>
        <v/>
      </c>
      <c r="W158" s="18" t="s">
        <v>98</v>
      </c>
      <c r="X158" s="4" t="n">
        <f aca="false">IF(AND(D158="Available",R158&gt;=55),ROW(),9999)</f>
        <v>9999</v>
      </c>
      <c r="Y158" s="4" t="n">
        <f aca="false">IF(AND(D158="Available",R158&gt;=40,R158&lt;55),ROW(),9999)</f>
        <v>9999</v>
      </c>
      <c r="Z158" s="4" t="n">
        <f aca="false">IF(AND(D158="Available",R158&gt;=25,R158&lt;40),ROW(),9999)</f>
        <v>9999</v>
      </c>
      <c r="AA158" s="35" t="n">
        <f aca="false">IF(K158="","",IF(L158="",K158,ROUND(AVERAGE(K158,L158),0)))</f>
        <v>83</v>
      </c>
    </row>
    <row r="159" customFormat="false" ht="15" hidden="false" customHeight="false" outlineLevel="0" collapsed="false">
      <c r="A159" s="18" t="s">
        <v>310</v>
      </c>
      <c r="B159" s="19" t="n">
        <f aca="false">R159-N159</f>
        <v>0</v>
      </c>
      <c r="C159" s="18" t="str">
        <f aca="false">IF(B159&gt;=5,"SMASH BUY",IF(B159&gt;=2,"BUY",IF(B159&gt;=-1,"NEUTRAL",IF(B159&gt;=-4,"AVOID","DO NOT BID"))))</f>
        <v>NEUTRAL</v>
      </c>
      <c r="D159" s="18" t="str">
        <f aca="false">IF(COUNTIFS('Auction Log'!$B$5:$B$304,A159,'Auction Log'!$D$5:$D$304,"&lt;&gt;",'Auction Log'!$E$5:$E$304,"&gt;0")=0,"Available",IFERROR(INDEX('Auction Log'!$D$5:$D$304,MATCH(1,('Auction Log'!$B$5:$B$304=A159)*('Auction Log'!$D$5:$D$304&lt;&gt;"")*('Auction Log'!$E$5:$E$304&gt;0),0)),"SOLD"))</f>
        <v>Available</v>
      </c>
      <c r="E159" s="19" t="str">
        <f aca="false">IF(COUNTIFS('Auction Log'!$B$5:$B$304,A159,'Auction Log'!$D$5:$D$304,"&lt;&gt;",'Auction Log'!$E$5:$E$304,"&gt;0")=0,"",IFERROR(INDEX('Auction Log'!$E$5:$E$304,MATCH(1,('Auction Log'!$B$5:$B$304=A159)*('Auction Log'!$D$5:$D$304&lt;&gt;"")*('Auction Log'!$E$5:$E$304&gt;0),0)),""))</f>
        <v/>
      </c>
      <c r="F159" s="18" t="s">
        <v>171</v>
      </c>
      <c r="G159" s="18" t="s">
        <v>34</v>
      </c>
      <c r="H159" s="18" t="n">
        <v>10</v>
      </c>
      <c r="I159" s="18" t="n">
        <v>166</v>
      </c>
      <c r="J159" s="18" t="n">
        <v>10</v>
      </c>
      <c r="K159" s="36" t="n">
        <v>118</v>
      </c>
      <c r="L159" s="36"/>
      <c r="M159" s="19" t="n">
        <v>0</v>
      </c>
      <c r="N159" s="19" t="n">
        <v>2</v>
      </c>
      <c r="O159" s="19" t="n">
        <v>0</v>
      </c>
      <c r="P159" s="19" t="n">
        <v>0</v>
      </c>
      <c r="Q159" s="19" t="n">
        <v>0</v>
      </c>
      <c r="R159" s="19" t="n">
        <v>2</v>
      </c>
      <c r="S159" s="19" t="n">
        <v>1</v>
      </c>
      <c r="T159" s="18" t="s">
        <v>291</v>
      </c>
      <c r="U159" s="32"/>
      <c r="V159" s="19" t="str">
        <f aca="false">IF(E159="","",R159-E159)</f>
        <v/>
      </c>
      <c r="W159" s="18" t="s">
        <v>98</v>
      </c>
      <c r="X159" s="4" t="n">
        <f aca="false">IF(AND(D159="Available",R159&gt;=55),ROW(),9999)</f>
        <v>9999</v>
      </c>
      <c r="Y159" s="4" t="n">
        <f aca="false">IF(AND(D159="Available",R159&gt;=40,R159&lt;55),ROW(),9999)</f>
        <v>9999</v>
      </c>
      <c r="Z159" s="4" t="n">
        <f aca="false">IF(AND(D159="Available",R159&gt;=25,R159&lt;40),ROW(),9999)</f>
        <v>9999</v>
      </c>
      <c r="AA159" s="35" t="n">
        <f aca="false">IF(K159="","",IF(L159="",K159,ROUND(AVERAGE(K159,L159),0)))</f>
        <v>118</v>
      </c>
    </row>
    <row r="160" customFormat="false" ht="15" hidden="false" customHeight="false" outlineLevel="0" collapsed="false">
      <c r="A160" s="18" t="s">
        <v>311</v>
      </c>
      <c r="B160" s="19" t="n">
        <f aca="false">R160-N160</f>
        <v>0</v>
      </c>
      <c r="C160" s="18" t="str">
        <f aca="false">IF(B160&gt;=5,"SMASH BUY",IF(B160&gt;=2,"BUY",IF(B160&gt;=-1,"NEUTRAL",IF(B160&gt;=-4,"AVOID","DO NOT BID"))))</f>
        <v>NEUTRAL</v>
      </c>
      <c r="D160" s="18" t="str">
        <f aca="false">IF(COUNTIFS('Auction Log'!$B$5:$B$304,A160,'Auction Log'!$D$5:$D$304,"&lt;&gt;",'Auction Log'!$E$5:$E$304,"&gt;0")=0,"Available",IFERROR(INDEX('Auction Log'!$D$5:$D$304,MATCH(1,('Auction Log'!$B$5:$B$304=A160)*('Auction Log'!$D$5:$D$304&lt;&gt;"")*('Auction Log'!$E$5:$E$304&gt;0),0)),"SOLD"))</f>
        <v>Available</v>
      </c>
      <c r="E160" s="19" t="str">
        <f aca="false">IF(COUNTIFS('Auction Log'!$B$5:$B$304,A160,'Auction Log'!$D$5:$D$304,"&lt;&gt;",'Auction Log'!$E$5:$E$304,"&gt;0")=0,"",IFERROR(INDEX('Auction Log'!$E$5:$E$304,MATCH(1,('Auction Log'!$B$5:$B$304=A160)*('Auction Log'!$D$5:$D$304&lt;&gt;"")*('Auction Log'!$E$5:$E$304&gt;0),0)),""))</f>
        <v/>
      </c>
      <c r="F160" s="18" t="s">
        <v>102</v>
      </c>
      <c r="G160" s="18" t="s">
        <v>21</v>
      </c>
      <c r="H160" s="18" t="n">
        <v>11</v>
      </c>
      <c r="I160" s="18" t="n">
        <v>167</v>
      </c>
      <c r="J160" s="18" t="n">
        <v>10</v>
      </c>
      <c r="K160" s="36" t="n">
        <v>93</v>
      </c>
      <c r="L160" s="36" t="n">
        <v>94</v>
      </c>
      <c r="M160" s="19" t="n">
        <v>1</v>
      </c>
      <c r="N160" s="19" t="n">
        <v>2</v>
      </c>
      <c r="O160" s="19" t="n">
        <v>0</v>
      </c>
      <c r="P160" s="19" t="n">
        <v>0</v>
      </c>
      <c r="Q160" s="19" t="n">
        <v>0</v>
      </c>
      <c r="R160" s="19" t="n">
        <v>2</v>
      </c>
      <c r="S160" s="19" t="n">
        <v>1</v>
      </c>
      <c r="T160" s="18" t="s">
        <v>291</v>
      </c>
      <c r="U160" s="32"/>
      <c r="V160" s="19" t="str">
        <f aca="false">IF(E160="","",R160-E160)</f>
        <v/>
      </c>
      <c r="W160" s="18" t="s">
        <v>98</v>
      </c>
      <c r="X160" s="4" t="n">
        <f aca="false">IF(AND(D160="Available",R160&gt;=55),ROW(),9999)</f>
        <v>9999</v>
      </c>
      <c r="Y160" s="4" t="n">
        <f aca="false">IF(AND(D160="Available",R160&gt;=40,R160&lt;55),ROW(),9999)</f>
        <v>9999</v>
      </c>
      <c r="Z160" s="4" t="n">
        <f aca="false">IF(AND(D160="Available",R160&gt;=25,R160&lt;40),ROW(),9999)</f>
        <v>9999</v>
      </c>
      <c r="AA160" s="35" t="n">
        <f aca="false">IF(K160="","",IF(L160="",K160,ROUND(AVERAGE(K160,L160),0)))</f>
        <v>94</v>
      </c>
    </row>
    <row r="161" customFormat="false" ht="15" hidden="false" customHeight="false" outlineLevel="0" collapsed="false">
      <c r="A161" s="18" t="s">
        <v>312</v>
      </c>
      <c r="B161" s="19" t="n">
        <f aca="false">R161-N161</f>
        <v>1</v>
      </c>
      <c r="C161" s="18" t="str">
        <f aca="false">IF(B161&gt;=5,"SMASH BUY",IF(B161&gt;=2,"BUY",IF(B161&gt;=-1,"NEUTRAL",IF(B161&gt;=-4,"AVOID","DO NOT BID"))))</f>
        <v>NEUTRAL</v>
      </c>
      <c r="D161" s="18" t="str">
        <f aca="false">IF(COUNTIFS('Auction Log'!$B$5:$B$304,A161,'Auction Log'!$D$5:$D$304,"&lt;&gt;",'Auction Log'!$E$5:$E$304,"&gt;0")=0,"Available",IFERROR(INDEX('Auction Log'!$D$5:$D$304,MATCH(1,('Auction Log'!$B$5:$B$304=A161)*('Auction Log'!$D$5:$D$304&lt;&gt;"")*('Auction Log'!$E$5:$E$304&gt;0),0)),"SOLD"))</f>
        <v>Available</v>
      </c>
      <c r="E161" s="19" t="str">
        <f aca="false">IF(COUNTIFS('Auction Log'!$B$5:$B$304,A161,'Auction Log'!$D$5:$D$304,"&lt;&gt;",'Auction Log'!$E$5:$E$304,"&gt;0")=0,"",IFERROR(INDEX('Auction Log'!$E$5:$E$304,MATCH(1,('Auction Log'!$B$5:$B$304=A161)*('Auction Log'!$D$5:$D$304&lt;&gt;"")*('Auction Log'!$E$5:$E$304&gt;0),0)),""))</f>
        <v/>
      </c>
      <c r="F161" s="18" t="s">
        <v>106</v>
      </c>
      <c r="G161" s="18" t="s">
        <v>34</v>
      </c>
      <c r="H161" s="18" t="n">
        <v>11</v>
      </c>
      <c r="I161" s="18" t="n">
        <v>169</v>
      </c>
      <c r="J161" s="18" t="n">
        <v>10</v>
      </c>
      <c r="K161" s="36" t="n">
        <v>107</v>
      </c>
      <c r="L161" s="36"/>
      <c r="M161" s="19" t="n">
        <v>0</v>
      </c>
      <c r="N161" s="19" t="n">
        <v>1</v>
      </c>
      <c r="O161" s="19" t="n">
        <v>1</v>
      </c>
      <c r="P161" s="19" t="n">
        <v>0</v>
      </c>
      <c r="Q161" s="19" t="n">
        <v>0</v>
      </c>
      <c r="R161" s="19" t="n">
        <v>2</v>
      </c>
      <c r="S161" s="19" t="n">
        <v>1</v>
      </c>
      <c r="T161" s="18" t="s">
        <v>291</v>
      </c>
      <c r="U161" s="32"/>
      <c r="V161" s="19" t="str">
        <f aca="false">IF(E161="","",R161-E161)</f>
        <v/>
      </c>
      <c r="W161" s="18" t="s">
        <v>98</v>
      </c>
      <c r="X161" s="4" t="n">
        <f aca="false">IF(AND(D161="Available",R161&gt;=55),ROW(),9999)</f>
        <v>9999</v>
      </c>
      <c r="Y161" s="4" t="n">
        <f aca="false">IF(AND(D161="Available",R161&gt;=40,R161&lt;55),ROW(),9999)</f>
        <v>9999</v>
      </c>
      <c r="Z161" s="4" t="n">
        <f aca="false">IF(AND(D161="Available",R161&gt;=25,R161&lt;40),ROW(),9999)</f>
        <v>9999</v>
      </c>
      <c r="AA161" s="35" t="n">
        <f aca="false">IF(K161="","",IF(L161="",K161,ROUND(AVERAGE(K161,L161),0)))</f>
        <v>107</v>
      </c>
    </row>
    <row r="162" customFormat="false" ht="15" hidden="false" customHeight="false" outlineLevel="0" collapsed="false">
      <c r="A162" s="18" t="s">
        <v>313</v>
      </c>
      <c r="B162" s="19" t="n">
        <f aca="false">R162-N162</f>
        <v>1</v>
      </c>
      <c r="C162" s="18" t="str">
        <f aca="false">IF(B162&gt;=5,"SMASH BUY",IF(B162&gt;=2,"BUY",IF(B162&gt;=-1,"NEUTRAL",IF(B162&gt;=-4,"AVOID","DO NOT BID"))))</f>
        <v>NEUTRAL</v>
      </c>
      <c r="D162" s="18" t="str">
        <f aca="false">IF(COUNTIFS('Auction Log'!$B$5:$B$304,A162,'Auction Log'!$D$5:$D$304,"&lt;&gt;",'Auction Log'!$E$5:$E$304,"&gt;0")=0,"Available",IFERROR(INDEX('Auction Log'!$D$5:$D$304,MATCH(1,('Auction Log'!$B$5:$B$304=A162)*('Auction Log'!$D$5:$D$304&lt;&gt;"")*('Auction Log'!$E$5:$E$304&gt;0),0)),"SOLD"))</f>
        <v>Available</v>
      </c>
      <c r="E162" s="19" t="str">
        <f aca="false">IF(COUNTIFS('Auction Log'!$B$5:$B$304,A162,'Auction Log'!$D$5:$D$304,"&lt;&gt;",'Auction Log'!$E$5:$E$304,"&gt;0")=0,"",IFERROR(INDEX('Auction Log'!$E$5:$E$304,MATCH(1,('Auction Log'!$B$5:$B$304=A162)*('Auction Log'!$D$5:$D$304&lt;&gt;"")*('Auction Log'!$E$5:$E$304&gt;0),0)),""))</f>
        <v/>
      </c>
      <c r="F162" s="18" t="s">
        <v>104</v>
      </c>
      <c r="G162" s="18" t="s">
        <v>34</v>
      </c>
      <c r="H162" s="18" t="n">
        <v>11</v>
      </c>
      <c r="I162" s="18" t="n">
        <v>170</v>
      </c>
      <c r="J162" s="18" t="n">
        <v>10</v>
      </c>
      <c r="K162" s="36" t="n">
        <v>111</v>
      </c>
      <c r="L162" s="36"/>
      <c r="M162" s="19" t="n">
        <v>0</v>
      </c>
      <c r="N162" s="19" t="n">
        <v>1</v>
      </c>
      <c r="O162" s="19" t="n">
        <v>1</v>
      </c>
      <c r="P162" s="19" t="n">
        <v>0</v>
      </c>
      <c r="Q162" s="19" t="n">
        <v>0</v>
      </c>
      <c r="R162" s="19" t="n">
        <v>2</v>
      </c>
      <c r="S162" s="19" t="n">
        <v>1</v>
      </c>
      <c r="T162" s="18" t="s">
        <v>291</v>
      </c>
      <c r="U162" s="32"/>
      <c r="V162" s="19" t="str">
        <f aca="false">IF(E162="","",R162-E162)</f>
        <v/>
      </c>
      <c r="W162" s="18" t="s">
        <v>98</v>
      </c>
      <c r="X162" s="4" t="n">
        <f aca="false">IF(AND(D162="Available",R162&gt;=55),ROW(),9999)</f>
        <v>9999</v>
      </c>
      <c r="Y162" s="4" t="n">
        <f aca="false">IF(AND(D162="Available",R162&gt;=40,R162&lt;55),ROW(),9999)</f>
        <v>9999</v>
      </c>
      <c r="Z162" s="4" t="n">
        <f aca="false">IF(AND(D162="Available",R162&gt;=25,R162&lt;40),ROW(),9999)</f>
        <v>9999</v>
      </c>
      <c r="AA162" s="35" t="n">
        <f aca="false">IF(K162="","",IF(L162="",K162,ROUND(AVERAGE(K162,L162),0)))</f>
        <v>111</v>
      </c>
    </row>
    <row r="163" customFormat="false" ht="15" hidden="false" customHeight="false" outlineLevel="0" collapsed="false">
      <c r="A163" s="18" t="s">
        <v>314</v>
      </c>
      <c r="B163" s="19" t="n">
        <f aca="false">R163-N163</f>
        <v>0</v>
      </c>
      <c r="C163" s="18" t="str">
        <f aca="false">IF(B163&gt;=5,"SMASH BUY",IF(B163&gt;=2,"BUY",IF(B163&gt;=-1,"NEUTRAL",IF(B163&gt;=-4,"AVOID","DO NOT BID"))))</f>
        <v>NEUTRAL</v>
      </c>
      <c r="D163" s="18" t="str">
        <f aca="false">IF(COUNTIFS('Auction Log'!$B$5:$B$304,A163,'Auction Log'!$D$5:$D$304,"&lt;&gt;",'Auction Log'!$E$5:$E$304,"&gt;0")=0,"Available",IFERROR(INDEX('Auction Log'!$D$5:$D$304,MATCH(1,('Auction Log'!$B$5:$B$304=A163)*('Auction Log'!$D$5:$D$304&lt;&gt;"")*('Auction Log'!$E$5:$E$304&gt;0),0)),"SOLD"))</f>
        <v>Available</v>
      </c>
      <c r="E163" s="19" t="str">
        <f aca="false">IF(COUNTIFS('Auction Log'!$B$5:$B$304,A163,'Auction Log'!$D$5:$D$304,"&lt;&gt;",'Auction Log'!$E$5:$E$304,"&gt;0")=0,"",IFERROR(INDEX('Auction Log'!$E$5:$E$304,MATCH(1,('Auction Log'!$B$5:$B$304=A163)*('Auction Log'!$D$5:$D$304&lt;&gt;"")*('Auction Log'!$E$5:$E$304&gt;0),0)),""))</f>
        <v/>
      </c>
      <c r="F163" s="18" t="s">
        <v>118</v>
      </c>
      <c r="G163" s="18" t="s">
        <v>30</v>
      </c>
      <c r="H163" s="18" t="n">
        <v>6</v>
      </c>
      <c r="I163" s="18" t="n">
        <v>171</v>
      </c>
      <c r="J163" s="18" t="n">
        <v>10</v>
      </c>
      <c r="K163" s="36" t="n">
        <v>141</v>
      </c>
      <c r="L163" s="36" t="n">
        <v>158</v>
      </c>
      <c r="M163" s="19" t="n">
        <v>2</v>
      </c>
      <c r="N163" s="19" t="n">
        <v>2</v>
      </c>
      <c r="O163" s="19" t="n">
        <v>0</v>
      </c>
      <c r="P163" s="19" t="n">
        <v>0</v>
      </c>
      <c r="Q163" s="19" t="n">
        <v>0</v>
      </c>
      <c r="R163" s="19" t="n">
        <v>2</v>
      </c>
      <c r="S163" s="19" t="n">
        <v>1</v>
      </c>
      <c r="T163" s="18" t="s">
        <v>291</v>
      </c>
      <c r="U163" s="32"/>
      <c r="V163" s="19" t="str">
        <f aca="false">IF(E163="","",R163-E163)</f>
        <v/>
      </c>
      <c r="W163" s="18" t="s">
        <v>98</v>
      </c>
      <c r="X163" s="4" t="n">
        <f aca="false">IF(AND(D163="Available",R163&gt;=55),ROW(),9999)</f>
        <v>9999</v>
      </c>
      <c r="Y163" s="4" t="n">
        <f aca="false">IF(AND(D163="Available",R163&gt;=40,R163&lt;55),ROW(),9999)</f>
        <v>9999</v>
      </c>
      <c r="Z163" s="4" t="n">
        <f aca="false">IF(AND(D163="Available",R163&gt;=25,R163&lt;40),ROW(),9999)</f>
        <v>9999</v>
      </c>
      <c r="AA163" s="35" t="n">
        <f aca="false">IF(K163="","",IF(L163="",K163,ROUND(AVERAGE(K163,L163),0)))</f>
        <v>150</v>
      </c>
    </row>
    <row r="164" customFormat="false" ht="15" hidden="false" customHeight="false" outlineLevel="0" collapsed="false">
      <c r="A164" s="18" t="s">
        <v>315</v>
      </c>
      <c r="B164" s="19" t="n">
        <f aca="false">R164-N164</f>
        <v>-1</v>
      </c>
      <c r="C164" s="18" t="str">
        <f aca="false">IF(B164&gt;=5,"SMASH BUY",IF(B164&gt;=2,"BUY",IF(B164&gt;=-1,"NEUTRAL",IF(B164&gt;=-4,"AVOID","DO NOT BID"))))</f>
        <v>NEUTRAL</v>
      </c>
      <c r="D164" s="18" t="str">
        <f aca="false">IF(COUNTIFS('Auction Log'!$B$5:$B$304,A164,'Auction Log'!$D$5:$D$304,"&lt;&gt;",'Auction Log'!$E$5:$E$304,"&gt;0")=0,"Available",IFERROR(INDEX('Auction Log'!$D$5:$D$304,MATCH(1,('Auction Log'!$B$5:$B$304=A164)*('Auction Log'!$D$5:$D$304&lt;&gt;"")*('Auction Log'!$E$5:$E$304&gt;0),0)),"SOLD"))</f>
        <v>Available</v>
      </c>
      <c r="E164" s="19" t="str">
        <f aca="false">IF(COUNTIFS('Auction Log'!$B$5:$B$304,A164,'Auction Log'!$D$5:$D$304,"&lt;&gt;",'Auction Log'!$E$5:$E$304,"&gt;0")=0,"",IFERROR(INDEX('Auction Log'!$E$5:$E$304,MATCH(1,('Auction Log'!$B$5:$B$304=A164)*('Auction Log'!$D$5:$D$304&lt;&gt;"")*('Auction Log'!$E$5:$E$304&gt;0),0)),""))</f>
        <v/>
      </c>
      <c r="F164" s="18" t="s">
        <v>156</v>
      </c>
      <c r="G164" s="18" t="s">
        <v>21</v>
      </c>
      <c r="H164" s="18"/>
      <c r="I164" s="18"/>
      <c r="J164" s="18"/>
      <c r="K164" s="36" t="n">
        <v>100</v>
      </c>
      <c r="L164" s="36"/>
      <c r="M164" s="19" t="n">
        <v>0</v>
      </c>
      <c r="N164" s="19" t="n">
        <v>3</v>
      </c>
      <c r="O164" s="19" t="n">
        <v>0</v>
      </c>
      <c r="P164" s="19" t="n">
        <v>-1</v>
      </c>
      <c r="Q164" s="19" t="n">
        <v>0</v>
      </c>
      <c r="R164" s="19" t="n">
        <v>2</v>
      </c>
      <c r="S164" s="19" t="n">
        <v>1</v>
      </c>
      <c r="T164" s="18" t="s">
        <v>125</v>
      </c>
      <c r="U164" s="32"/>
      <c r="V164" s="19" t="str">
        <f aca="false">IF(E164="","",R164-E164)</f>
        <v/>
      </c>
      <c r="W164" s="18" t="s">
        <v>98</v>
      </c>
      <c r="X164" s="4" t="n">
        <f aca="false">IF(AND(D164="Available",R164&gt;=55),ROW(),9999)</f>
        <v>9999</v>
      </c>
      <c r="Y164" s="4" t="n">
        <f aca="false">IF(AND(D164="Available",R164&gt;=40,R164&lt;55),ROW(),9999)</f>
        <v>9999</v>
      </c>
      <c r="Z164" s="4" t="n">
        <f aca="false">IF(AND(D164="Available",R164&gt;=25,R164&lt;40),ROW(),9999)</f>
        <v>9999</v>
      </c>
      <c r="AA164" s="35" t="n">
        <f aca="false">IF(K164="","",IF(L164="",K164,ROUND(AVERAGE(K164,L164),0)))</f>
        <v>100</v>
      </c>
    </row>
    <row r="165" customFormat="false" ht="15" hidden="false" customHeight="false" outlineLevel="0" collapsed="false">
      <c r="A165" s="18" t="s">
        <v>316</v>
      </c>
      <c r="B165" s="19" t="n">
        <f aca="false">R165-N165</f>
        <v>1</v>
      </c>
      <c r="C165" s="18" t="str">
        <f aca="false">IF(B165&gt;=5,"SMASH BUY",IF(B165&gt;=2,"BUY",IF(B165&gt;=-1,"NEUTRAL",IF(B165&gt;=-4,"AVOID","DO NOT BID"))))</f>
        <v>NEUTRAL</v>
      </c>
      <c r="D165" s="18" t="str">
        <f aca="false">IF(COUNTIFS('Auction Log'!$B$5:$B$304,A165,'Auction Log'!$D$5:$D$304,"&lt;&gt;",'Auction Log'!$E$5:$E$304,"&gt;0")=0,"Available",IFERROR(INDEX('Auction Log'!$D$5:$D$304,MATCH(1,('Auction Log'!$B$5:$B$304=A165)*('Auction Log'!$D$5:$D$304&lt;&gt;"")*('Auction Log'!$E$5:$E$304&gt;0),0)),"SOLD"))</f>
        <v>Available</v>
      </c>
      <c r="E165" s="19" t="str">
        <f aca="false">IF(COUNTIFS('Auction Log'!$B$5:$B$304,A165,'Auction Log'!$D$5:$D$304,"&lt;&gt;",'Auction Log'!$E$5:$E$304,"&gt;0")=0,"",IFERROR(INDEX('Auction Log'!$E$5:$E$304,MATCH(1,('Auction Log'!$B$5:$B$304=A165)*('Auction Log'!$D$5:$D$304&lt;&gt;"")*('Auction Log'!$E$5:$E$304&gt;0),0)),""))</f>
        <v/>
      </c>
      <c r="F165" s="18" t="s">
        <v>128</v>
      </c>
      <c r="G165" s="18" t="s">
        <v>26</v>
      </c>
      <c r="H165" s="18" t="n">
        <v>8</v>
      </c>
      <c r="I165" s="18" t="n">
        <v>131</v>
      </c>
      <c r="J165" s="18" t="n">
        <v>9</v>
      </c>
      <c r="K165" s="36"/>
      <c r="L165" s="36" t="n">
        <v>100</v>
      </c>
      <c r="M165" s="19" t="n">
        <v>1</v>
      </c>
      <c r="N165" s="19" t="n">
        <v>0</v>
      </c>
      <c r="O165" s="19" t="n">
        <v>0</v>
      </c>
      <c r="P165" s="19" t="n">
        <v>0</v>
      </c>
      <c r="Q165" s="19" t="n">
        <v>0</v>
      </c>
      <c r="R165" s="19" t="n">
        <v>1</v>
      </c>
      <c r="S165" s="19" t="n">
        <v>1</v>
      </c>
      <c r="T165" s="18" t="s">
        <v>291</v>
      </c>
      <c r="U165" s="32"/>
      <c r="V165" s="19" t="str">
        <f aca="false">IF(E165="","",R165-E165)</f>
        <v/>
      </c>
      <c r="W165" s="18" t="s">
        <v>98</v>
      </c>
      <c r="X165" s="4" t="n">
        <f aca="false">IF(AND(D165="Available",R165&gt;=55),ROW(),9999)</f>
        <v>9999</v>
      </c>
      <c r="Y165" s="4" t="n">
        <f aca="false">IF(AND(D165="Available",R165&gt;=40,R165&lt;55),ROW(),9999)</f>
        <v>9999</v>
      </c>
      <c r="Z165" s="4" t="n">
        <f aca="false">IF(AND(D165="Available",R165&gt;=25,R165&lt;40),ROW(),9999)</f>
        <v>9999</v>
      </c>
      <c r="AA165" s="35" t="str">
        <f aca="false">IF(K165="","",IF(L165="",K165,ROUND(AVERAGE(K165,L165),0)))</f>
        <v/>
      </c>
    </row>
    <row r="166" customFormat="false" ht="15" hidden="false" customHeight="false" outlineLevel="0" collapsed="false">
      <c r="A166" s="18" t="s">
        <v>317</v>
      </c>
      <c r="B166" s="19" t="n">
        <f aca="false">R166-N166</f>
        <v>1</v>
      </c>
      <c r="C166" s="18" t="str">
        <f aca="false">IF(B166&gt;=5,"SMASH BUY",IF(B166&gt;=2,"BUY",IF(B166&gt;=-1,"NEUTRAL",IF(B166&gt;=-4,"AVOID","DO NOT BID"))))</f>
        <v>NEUTRAL</v>
      </c>
      <c r="D166" s="18" t="str">
        <f aca="false">IF(COUNTIFS('Auction Log'!$B$5:$B$304,A166,'Auction Log'!$D$5:$D$304,"&lt;&gt;",'Auction Log'!$E$5:$E$304,"&gt;0")=0,"Available",IFERROR(INDEX('Auction Log'!$D$5:$D$304,MATCH(1,('Auction Log'!$B$5:$B$304=A166)*('Auction Log'!$D$5:$D$304&lt;&gt;"")*('Auction Log'!$E$5:$E$304&gt;0),0)),"SOLD"))</f>
        <v>Available</v>
      </c>
      <c r="E166" s="19" t="str">
        <f aca="false">IF(COUNTIFS('Auction Log'!$B$5:$B$304,A166,'Auction Log'!$D$5:$D$304,"&lt;&gt;",'Auction Log'!$E$5:$E$304,"&gt;0")=0,"",IFERROR(INDEX('Auction Log'!$E$5:$E$304,MATCH(1,('Auction Log'!$B$5:$B$304=A166)*('Auction Log'!$D$5:$D$304&lt;&gt;"")*('Auction Log'!$E$5:$E$304&gt;0),0)),""))</f>
        <v/>
      </c>
      <c r="F166" s="18" t="s">
        <v>104</v>
      </c>
      <c r="G166" s="18" t="s">
        <v>16</v>
      </c>
      <c r="H166" s="18" t="n">
        <v>11</v>
      </c>
      <c r="I166" s="18" t="n">
        <v>137</v>
      </c>
      <c r="J166" s="18" t="n">
        <v>9</v>
      </c>
      <c r="K166" s="36"/>
      <c r="L166" s="36" t="n">
        <v>242</v>
      </c>
      <c r="M166" s="19" t="n">
        <v>0</v>
      </c>
      <c r="N166" s="19" t="n">
        <v>0</v>
      </c>
      <c r="O166" s="19" t="n">
        <v>0</v>
      </c>
      <c r="P166" s="19" t="n">
        <v>0</v>
      </c>
      <c r="Q166" s="19" t="n">
        <v>0</v>
      </c>
      <c r="R166" s="19" t="n">
        <v>1</v>
      </c>
      <c r="S166" s="19" t="n">
        <v>1</v>
      </c>
      <c r="T166" s="18" t="s">
        <v>291</v>
      </c>
      <c r="U166" s="32"/>
      <c r="V166" s="19" t="str">
        <f aca="false">IF(E166="","",R166-E166)</f>
        <v/>
      </c>
      <c r="W166" s="18" t="s">
        <v>98</v>
      </c>
      <c r="X166" s="4" t="n">
        <f aca="false">IF(AND(D166="Available",R166&gt;=55),ROW(),9999)</f>
        <v>9999</v>
      </c>
      <c r="Y166" s="4" t="n">
        <f aca="false">IF(AND(D166="Available",R166&gt;=40,R166&lt;55),ROW(),9999)</f>
        <v>9999</v>
      </c>
      <c r="Z166" s="4" t="n">
        <f aca="false">IF(AND(D166="Available",R166&gt;=25,R166&lt;40),ROW(),9999)</f>
        <v>9999</v>
      </c>
      <c r="AA166" s="35" t="str">
        <f aca="false">IF(K166="","",IF(L166="",K166,ROUND(AVERAGE(K166,L166),0)))</f>
        <v/>
      </c>
    </row>
    <row r="167" customFormat="false" ht="15" hidden="false" customHeight="false" outlineLevel="0" collapsed="false">
      <c r="A167" s="18" t="s">
        <v>318</v>
      </c>
      <c r="B167" s="19" t="n">
        <f aca="false">R167-N167</f>
        <v>1</v>
      </c>
      <c r="C167" s="18" t="str">
        <f aca="false">IF(B167&gt;=5,"SMASH BUY",IF(B167&gt;=2,"BUY",IF(B167&gt;=-1,"NEUTRAL",IF(B167&gt;=-4,"AVOID","DO NOT BID"))))</f>
        <v>NEUTRAL</v>
      </c>
      <c r="D167" s="18" t="str">
        <f aca="false">IF(COUNTIFS('Auction Log'!$B$5:$B$304,A167,'Auction Log'!$D$5:$D$304,"&lt;&gt;",'Auction Log'!$E$5:$E$304,"&gt;0")=0,"Available",IFERROR(INDEX('Auction Log'!$D$5:$D$304,MATCH(1,('Auction Log'!$B$5:$B$304=A167)*('Auction Log'!$D$5:$D$304&lt;&gt;"")*('Auction Log'!$E$5:$E$304&gt;0),0)),"SOLD"))</f>
        <v>Available</v>
      </c>
      <c r="E167" s="19" t="str">
        <f aca="false">IF(COUNTIFS('Auction Log'!$B$5:$B$304,A167,'Auction Log'!$D$5:$D$304,"&lt;&gt;",'Auction Log'!$E$5:$E$304,"&gt;0")=0,"",IFERROR(INDEX('Auction Log'!$E$5:$E$304,MATCH(1,('Auction Log'!$B$5:$B$304=A167)*('Auction Log'!$D$5:$D$304&lt;&gt;"")*('Auction Log'!$E$5:$E$304&gt;0),0)),""))</f>
        <v/>
      </c>
      <c r="F167" s="18" t="s">
        <v>134</v>
      </c>
      <c r="G167" s="18" t="s">
        <v>16</v>
      </c>
      <c r="H167" s="18" t="n">
        <v>8</v>
      </c>
      <c r="I167" s="18" t="n">
        <v>139</v>
      </c>
      <c r="J167" s="18" t="n">
        <v>9</v>
      </c>
      <c r="K167" s="36"/>
      <c r="L167" s="36" t="n">
        <v>246</v>
      </c>
      <c r="M167" s="19" t="n">
        <v>0</v>
      </c>
      <c r="N167" s="19" t="n">
        <v>0</v>
      </c>
      <c r="O167" s="19" t="n">
        <v>0</v>
      </c>
      <c r="P167" s="19" t="n">
        <v>0</v>
      </c>
      <c r="Q167" s="19" t="n">
        <v>0</v>
      </c>
      <c r="R167" s="19" t="n">
        <v>1</v>
      </c>
      <c r="S167" s="19" t="n">
        <v>1</v>
      </c>
      <c r="T167" s="18" t="s">
        <v>291</v>
      </c>
      <c r="U167" s="32"/>
      <c r="V167" s="19" t="str">
        <f aca="false">IF(E167="","",R167-E167)</f>
        <v/>
      </c>
      <c r="W167" s="18" t="s">
        <v>98</v>
      </c>
      <c r="X167" s="4" t="n">
        <f aca="false">IF(AND(D167="Available",R167&gt;=55),ROW(),9999)</f>
        <v>9999</v>
      </c>
      <c r="Y167" s="4" t="n">
        <f aca="false">IF(AND(D167="Available",R167&gt;=40,R167&lt;55),ROW(),9999)</f>
        <v>9999</v>
      </c>
      <c r="Z167" s="4" t="n">
        <f aca="false">IF(AND(D167="Available",R167&gt;=25,R167&lt;40),ROW(),9999)</f>
        <v>9999</v>
      </c>
      <c r="AA167" s="35" t="str">
        <f aca="false">IF(K167="","",IF(L167="",K167,ROUND(AVERAGE(K167,L167),0)))</f>
        <v/>
      </c>
    </row>
    <row r="168" customFormat="false" ht="15" hidden="false" customHeight="false" outlineLevel="0" collapsed="false">
      <c r="A168" s="18" t="s">
        <v>319</v>
      </c>
      <c r="B168" s="19" t="n">
        <f aca="false">R168-N168</f>
        <v>1</v>
      </c>
      <c r="C168" s="18" t="str">
        <f aca="false">IF(B168&gt;=5,"SMASH BUY",IF(B168&gt;=2,"BUY",IF(B168&gt;=-1,"NEUTRAL",IF(B168&gt;=-4,"AVOID","DO NOT BID"))))</f>
        <v>NEUTRAL</v>
      </c>
      <c r="D168" s="18" t="str">
        <f aca="false">IF(COUNTIFS('Auction Log'!$B$5:$B$304,A168,'Auction Log'!$D$5:$D$304,"&lt;&gt;",'Auction Log'!$E$5:$E$304,"&gt;0")=0,"Available",IFERROR(INDEX('Auction Log'!$D$5:$D$304,MATCH(1,('Auction Log'!$B$5:$B$304=A168)*('Auction Log'!$D$5:$D$304&lt;&gt;"")*('Auction Log'!$E$5:$E$304&gt;0),0)),"SOLD"))</f>
        <v>Available</v>
      </c>
      <c r="E168" s="19" t="str">
        <f aca="false">IF(COUNTIFS('Auction Log'!$B$5:$B$304,A168,'Auction Log'!$D$5:$D$304,"&lt;&gt;",'Auction Log'!$E$5:$E$304,"&gt;0")=0,"",IFERROR(INDEX('Auction Log'!$E$5:$E$304,MATCH(1,('Auction Log'!$B$5:$B$304=A168)*('Auction Log'!$D$5:$D$304&lt;&gt;"")*('Auction Log'!$E$5:$E$304&gt;0),0)),""))</f>
        <v/>
      </c>
      <c r="F168" s="18" t="s">
        <v>202</v>
      </c>
      <c r="G168" s="18" t="s">
        <v>16</v>
      </c>
      <c r="H168" s="18" t="n">
        <v>9</v>
      </c>
      <c r="I168" s="18" t="n">
        <v>147</v>
      </c>
      <c r="J168" s="18" t="n">
        <v>9</v>
      </c>
      <c r="K168" s="36"/>
      <c r="L168" s="36"/>
      <c r="M168" s="19" t="n">
        <v>0</v>
      </c>
      <c r="N168" s="19" t="n">
        <v>0</v>
      </c>
      <c r="O168" s="19" t="n">
        <v>0</v>
      </c>
      <c r="P168" s="19" t="n">
        <v>0</v>
      </c>
      <c r="Q168" s="19" t="n">
        <v>0</v>
      </c>
      <c r="R168" s="19" t="n">
        <v>1</v>
      </c>
      <c r="S168" s="19" t="n">
        <v>1</v>
      </c>
      <c r="T168" s="18" t="s">
        <v>291</v>
      </c>
      <c r="U168" s="32"/>
      <c r="V168" s="19" t="str">
        <f aca="false">IF(E168="","",R168-E168)</f>
        <v/>
      </c>
      <c r="W168" s="18" t="s">
        <v>98</v>
      </c>
      <c r="X168" s="4" t="n">
        <f aca="false">IF(AND(D168="Available",R168&gt;=55),ROW(),9999)</f>
        <v>9999</v>
      </c>
      <c r="Y168" s="4" t="n">
        <f aca="false">IF(AND(D168="Available",R168&gt;=40,R168&lt;55),ROW(),9999)</f>
        <v>9999</v>
      </c>
      <c r="Z168" s="4" t="n">
        <f aca="false">IF(AND(D168="Available",R168&gt;=25,R168&lt;40),ROW(),9999)</f>
        <v>9999</v>
      </c>
      <c r="AA168" s="35" t="str">
        <f aca="false">IF(K168="","",IF(L168="",K168,ROUND(AVERAGE(K168,L168),0)))</f>
        <v/>
      </c>
    </row>
    <row r="169" customFormat="false" ht="15" hidden="false" customHeight="false" outlineLevel="0" collapsed="false">
      <c r="A169" s="18" t="s">
        <v>320</v>
      </c>
      <c r="B169" s="19" t="n">
        <f aca="false">R169-N169</f>
        <v>1</v>
      </c>
      <c r="C169" s="18" t="str">
        <f aca="false">IF(B169&gt;=5,"SMASH BUY",IF(B169&gt;=2,"BUY",IF(B169&gt;=-1,"NEUTRAL",IF(B169&gt;=-4,"AVOID","DO NOT BID"))))</f>
        <v>NEUTRAL</v>
      </c>
      <c r="D169" s="18" t="str">
        <f aca="false">IF(COUNTIFS('Auction Log'!$B$5:$B$304,A169,'Auction Log'!$D$5:$D$304,"&lt;&gt;",'Auction Log'!$E$5:$E$304,"&gt;0")=0,"Available",IFERROR(INDEX('Auction Log'!$D$5:$D$304,MATCH(1,('Auction Log'!$B$5:$B$304=A169)*('Auction Log'!$D$5:$D$304&lt;&gt;"")*('Auction Log'!$E$5:$E$304&gt;0),0)),"SOLD"))</f>
        <v>Available</v>
      </c>
      <c r="E169" s="19" t="str">
        <f aca="false">IF(COUNTIFS('Auction Log'!$B$5:$B$304,A169,'Auction Log'!$D$5:$D$304,"&lt;&gt;",'Auction Log'!$E$5:$E$304,"&gt;0")=0,"",IFERROR(INDEX('Auction Log'!$E$5:$E$304,MATCH(1,('Auction Log'!$B$5:$B$304=A169)*('Auction Log'!$D$5:$D$304&lt;&gt;"")*('Auction Log'!$E$5:$E$304&gt;0),0)),""))</f>
        <v/>
      </c>
      <c r="F169" s="18" t="s">
        <v>177</v>
      </c>
      <c r="G169" s="18" t="s">
        <v>30</v>
      </c>
      <c r="H169" s="18" t="n">
        <v>7</v>
      </c>
      <c r="I169" s="18" t="n">
        <v>151</v>
      </c>
      <c r="J169" s="18" t="n">
        <v>9</v>
      </c>
      <c r="K169" s="36"/>
      <c r="L169" s="36" t="n">
        <v>121</v>
      </c>
      <c r="M169" s="19" t="n">
        <v>0</v>
      </c>
      <c r="N169" s="19" t="n">
        <v>0</v>
      </c>
      <c r="O169" s="19" t="n">
        <v>0</v>
      </c>
      <c r="P169" s="19" t="n">
        <v>0</v>
      </c>
      <c r="Q169" s="19" t="n">
        <v>0</v>
      </c>
      <c r="R169" s="19" t="n">
        <v>1</v>
      </c>
      <c r="S169" s="19" t="n">
        <v>1</v>
      </c>
      <c r="T169" s="18" t="s">
        <v>291</v>
      </c>
      <c r="U169" s="32"/>
      <c r="V169" s="19" t="str">
        <f aca="false">IF(E169="","",R169-E169)</f>
        <v/>
      </c>
      <c r="W169" s="18" t="s">
        <v>98</v>
      </c>
      <c r="X169" s="4" t="n">
        <f aca="false">IF(AND(D169="Available",R169&gt;=55),ROW(),9999)</f>
        <v>9999</v>
      </c>
      <c r="Y169" s="4" t="n">
        <f aca="false">IF(AND(D169="Available",R169&gt;=40,R169&lt;55),ROW(),9999)</f>
        <v>9999</v>
      </c>
      <c r="Z169" s="4" t="n">
        <f aca="false">IF(AND(D169="Available",R169&gt;=25,R169&lt;40),ROW(),9999)</f>
        <v>9999</v>
      </c>
      <c r="AA169" s="35" t="str">
        <f aca="false">IF(K169="","",IF(L169="",K169,ROUND(AVERAGE(K169,L169),0)))</f>
        <v/>
      </c>
    </row>
    <row r="170" customFormat="false" ht="15" hidden="false" customHeight="false" outlineLevel="0" collapsed="false">
      <c r="A170" s="18" t="s">
        <v>321</v>
      </c>
      <c r="B170" s="19" t="n">
        <f aca="false">R170-N170</f>
        <v>1</v>
      </c>
      <c r="C170" s="18" t="str">
        <f aca="false">IF(B170&gt;=5,"SMASH BUY",IF(B170&gt;=2,"BUY",IF(B170&gt;=-1,"NEUTRAL",IF(B170&gt;=-4,"AVOID","DO NOT BID"))))</f>
        <v>NEUTRAL</v>
      </c>
      <c r="D170" s="18" t="str">
        <f aca="false">IF(COUNTIFS('Auction Log'!$B$5:$B$304,A170,'Auction Log'!$D$5:$D$304,"&lt;&gt;",'Auction Log'!$E$5:$E$304,"&gt;0")=0,"Available",IFERROR(INDEX('Auction Log'!$D$5:$D$304,MATCH(1,('Auction Log'!$B$5:$B$304=A170)*('Auction Log'!$D$5:$D$304&lt;&gt;"")*('Auction Log'!$E$5:$E$304&gt;0),0)),"SOLD"))</f>
        <v>Available</v>
      </c>
      <c r="E170" s="19" t="str">
        <f aca="false">IF(COUNTIFS('Auction Log'!$B$5:$B$304,A170,'Auction Log'!$D$5:$D$304,"&lt;&gt;",'Auction Log'!$E$5:$E$304,"&gt;0")=0,"",IFERROR(INDEX('Auction Log'!$E$5:$E$304,MATCH(1,('Auction Log'!$B$5:$B$304=A170)*('Auction Log'!$D$5:$D$304&lt;&gt;"")*('Auction Log'!$E$5:$E$304&gt;0),0)),""))</f>
        <v/>
      </c>
      <c r="F170" s="18" t="s">
        <v>171</v>
      </c>
      <c r="G170" s="18" t="s">
        <v>21</v>
      </c>
      <c r="H170" s="18" t="n">
        <v>10</v>
      </c>
      <c r="I170" s="18" t="n">
        <v>152</v>
      </c>
      <c r="J170" s="18" t="n">
        <v>9</v>
      </c>
      <c r="K170" s="36"/>
      <c r="L170" s="36" t="n">
        <v>74</v>
      </c>
      <c r="M170" s="19" t="n">
        <v>1</v>
      </c>
      <c r="N170" s="19" t="n">
        <v>0</v>
      </c>
      <c r="O170" s="19" t="n">
        <v>0</v>
      </c>
      <c r="P170" s="19" t="n">
        <v>0</v>
      </c>
      <c r="Q170" s="19" t="n">
        <v>0</v>
      </c>
      <c r="R170" s="19" t="n">
        <v>1</v>
      </c>
      <c r="S170" s="19" t="n">
        <v>1</v>
      </c>
      <c r="T170" s="18" t="s">
        <v>291</v>
      </c>
      <c r="U170" s="32"/>
      <c r="V170" s="19" t="str">
        <f aca="false">IF(E170="","",R170-E170)</f>
        <v/>
      </c>
      <c r="W170" s="18" t="s">
        <v>98</v>
      </c>
      <c r="X170" s="4" t="n">
        <f aca="false">IF(AND(D170="Available",R170&gt;=55),ROW(),9999)</f>
        <v>9999</v>
      </c>
      <c r="Y170" s="4" t="n">
        <f aca="false">IF(AND(D170="Available",R170&gt;=40,R170&lt;55),ROW(),9999)</f>
        <v>9999</v>
      </c>
      <c r="Z170" s="4" t="n">
        <f aca="false">IF(AND(D170="Available",R170&gt;=25,R170&lt;40),ROW(),9999)</f>
        <v>9999</v>
      </c>
      <c r="AA170" s="35" t="str">
        <f aca="false">IF(K170="","",IF(L170="",K170,ROUND(AVERAGE(K170,L170),0)))</f>
        <v/>
      </c>
    </row>
    <row r="171" customFormat="false" ht="15" hidden="false" customHeight="false" outlineLevel="0" collapsed="false">
      <c r="A171" s="18" t="s">
        <v>322</v>
      </c>
      <c r="B171" s="19" t="n">
        <f aca="false">R171-N171</f>
        <v>-4</v>
      </c>
      <c r="C171" s="18" t="str">
        <f aca="false">IF(B171&gt;=5,"SMASH BUY",IF(B171&gt;=2,"BUY",IF(B171&gt;=-1,"NEUTRAL",IF(B171&gt;=-4,"AVOID","DO NOT BID"))))</f>
        <v>AVOID</v>
      </c>
      <c r="D171" s="18" t="str">
        <f aca="false">IF(COUNTIFS('Auction Log'!$B$5:$B$304,A171,'Auction Log'!$D$5:$D$304,"&lt;&gt;",'Auction Log'!$E$5:$E$304,"&gt;0")=0,"Available",IFERROR(INDEX('Auction Log'!$D$5:$D$304,MATCH(1,('Auction Log'!$B$5:$B$304=A171)*('Auction Log'!$D$5:$D$304&lt;&gt;"")*('Auction Log'!$E$5:$E$304&gt;0),0)),"SOLD"))</f>
        <v>Available</v>
      </c>
      <c r="E171" s="19" t="str">
        <f aca="false">IF(COUNTIFS('Auction Log'!$B$5:$B$304,A171,'Auction Log'!$D$5:$D$304,"&lt;&gt;",'Auction Log'!$E$5:$E$304,"&gt;0")=0,"",IFERROR(INDEX('Auction Log'!$E$5:$E$304,MATCH(1,('Auction Log'!$B$5:$B$304=A171)*('Auction Log'!$D$5:$D$304&lt;&gt;"")*('Auction Log'!$E$5:$E$304&gt;0),0)),""))</f>
        <v/>
      </c>
      <c r="F171" s="18" t="s">
        <v>141</v>
      </c>
      <c r="G171" s="18" t="s">
        <v>26</v>
      </c>
      <c r="H171" s="18" t="n">
        <v>13</v>
      </c>
      <c r="I171" s="18" t="n">
        <v>155</v>
      </c>
      <c r="J171" s="18" t="n">
        <v>9</v>
      </c>
      <c r="K171" s="36" t="n">
        <v>142</v>
      </c>
      <c r="L171" s="36" t="n">
        <v>138</v>
      </c>
      <c r="M171" s="19" t="n">
        <v>1</v>
      </c>
      <c r="N171" s="19" t="n">
        <v>5</v>
      </c>
      <c r="O171" s="19" t="n">
        <v>-3</v>
      </c>
      <c r="P171" s="19" t="n">
        <v>-1</v>
      </c>
      <c r="Q171" s="19" t="n">
        <v>0</v>
      </c>
      <c r="R171" s="19" t="n">
        <v>1</v>
      </c>
      <c r="S171" s="19" t="n">
        <v>1</v>
      </c>
      <c r="T171" s="18" t="s">
        <v>291</v>
      </c>
      <c r="U171" s="32"/>
      <c r="V171" s="19" t="str">
        <f aca="false">IF(E171="","",R171-E171)</f>
        <v/>
      </c>
      <c r="W171" s="18" t="s">
        <v>98</v>
      </c>
      <c r="X171" s="4" t="n">
        <f aca="false">IF(AND(D171="Available",R171&gt;=55),ROW(),9999)</f>
        <v>9999</v>
      </c>
      <c r="Y171" s="4" t="n">
        <f aca="false">IF(AND(D171="Available",R171&gt;=40,R171&lt;55),ROW(),9999)</f>
        <v>9999</v>
      </c>
      <c r="Z171" s="4" t="n">
        <f aca="false">IF(AND(D171="Available",R171&gt;=25,R171&lt;40),ROW(),9999)</f>
        <v>9999</v>
      </c>
      <c r="AA171" s="35" t="n">
        <f aca="false">IF(K171="","",IF(L171="",K171,ROUND(AVERAGE(K171,L171),0)))</f>
        <v>140</v>
      </c>
    </row>
    <row r="172" customFormat="false" ht="15" hidden="false" customHeight="false" outlineLevel="0" collapsed="false">
      <c r="A172" s="18" t="s">
        <v>323</v>
      </c>
      <c r="B172" s="19" t="n">
        <f aca="false">R172-N172</f>
        <v>-5</v>
      </c>
      <c r="C172" s="18" t="str">
        <f aca="false">IF(B172&gt;=5,"SMASH BUY",IF(B172&gt;=2,"BUY",IF(B172&gt;=-1,"NEUTRAL",IF(B172&gt;=-4,"AVOID","DO NOT BID"))))</f>
        <v>DO NOT BID</v>
      </c>
      <c r="D172" s="18" t="str">
        <f aca="false">IF(COUNTIFS('Auction Log'!$B$5:$B$304,A172,'Auction Log'!$D$5:$D$304,"&lt;&gt;",'Auction Log'!$E$5:$E$304,"&gt;0")=0,"Available",IFERROR(INDEX('Auction Log'!$D$5:$D$304,MATCH(1,('Auction Log'!$B$5:$B$304=A172)*('Auction Log'!$D$5:$D$304&lt;&gt;"")*('Auction Log'!$E$5:$E$304&gt;0),0)),"SOLD"))</f>
        <v>Available</v>
      </c>
      <c r="E172" s="19" t="str">
        <f aca="false">IF(COUNTIFS('Auction Log'!$B$5:$B$304,A172,'Auction Log'!$D$5:$D$304,"&lt;&gt;",'Auction Log'!$E$5:$E$304,"&gt;0")=0,"",IFERROR(INDEX('Auction Log'!$E$5:$E$304,MATCH(1,('Auction Log'!$B$5:$B$304=A172)*('Auction Log'!$D$5:$D$304&lt;&gt;"")*('Auction Log'!$E$5:$E$304&gt;0),0)),""))</f>
        <v/>
      </c>
      <c r="F172" s="18" t="s">
        <v>185</v>
      </c>
      <c r="G172" s="18" t="s">
        <v>26</v>
      </c>
      <c r="H172" s="18" t="n">
        <v>11</v>
      </c>
      <c r="I172" s="18" t="n">
        <v>158</v>
      </c>
      <c r="J172" s="18" t="n">
        <v>9</v>
      </c>
      <c r="K172" s="36" t="n">
        <v>146</v>
      </c>
      <c r="L172" s="36" t="n">
        <v>138</v>
      </c>
      <c r="M172" s="19" t="n">
        <v>1</v>
      </c>
      <c r="N172" s="19" t="n">
        <v>6</v>
      </c>
      <c r="O172" s="19" t="n">
        <v>-4</v>
      </c>
      <c r="P172" s="19" t="n">
        <v>-1</v>
      </c>
      <c r="Q172" s="19" t="n">
        <v>0</v>
      </c>
      <c r="R172" s="19" t="n">
        <v>1</v>
      </c>
      <c r="S172" s="19" t="n">
        <v>1</v>
      </c>
      <c r="T172" s="18" t="s">
        <v>291</v>
      </c>
      <c r="U172" s="32"/>
      <c r="V172" s="19" t="str">
        <f aca="false">IF(E172="","",R172-E172)</f>
        <v/>
      </c>
      <c r="W172" s="18" t="s">
        <v>98</v>
      </c>
      <c r="X172" s="4" t="n">
        <f aca="false">IF(AND(D172="Available",R172&gt;=55),ROW(),9999)</f>
        <v>9999</v>
      </c>
      <c r="Y172" s="4" t="n">
        <f aca="false">IF(AND(D172="Available",R172&gt;=40,R172&lt;55),ROW(),9999)</f>
        <v>9999</v>
      </c>
      <c r="Z172" s="4" t="n">
        <f aca="false">IF(AND(D172="Available",R172&gt;=25,R172&lt;40),ROW(),9999)</f>
        <v>9999</v>
      </c>
      <c r="AA172" s="35" t="n">
        <f aca="false">IF(K172="","",IF(L172="",K172,ROUND(AVERAGE(K172,L172),0)))</f>
        <v>142</v>
      </c>
    </row>
    <row r="173" customFormat="false" ht="15" hidden="false" customHeight="false" outlineLevel="0" collapsed="false">
      <c r="A173" s="18" t="s">
        <v>324</v>
      </c>
      <c r="B173" s="19" t="n">
        <f aca="false">R173-N173</f>
        <v>-2</v>
      </c>
      <c r="C173" s="18" t="str">
        <f aca="false">IF(B173&gt;=5,"SMASH BUY",IF(B173&gt;=2,"BUY",IF(B173&gt;=-1,"NEUTRAL",IF(B173&gt;=-4,"AVOID","DO NOT BID"))))</f>
        <v>AVOID</v>
      </c>
      <c r="D173" s="18" t="str">
        <f aca="false">IF(COUNTIFS('Auction Log'!$B$5:$B$304,A173,'Auction Log'!$D$5:$D$304,"&lt;&gt;",'Auction Log'!$E$5:$E$304,"&gt;0")=0,"Available",IFERROR(INDEX('Auction Log'!$D$5:$D$304,MATCH(1,('Auction Log'!$B$5:$B$304=A173)*('Auction Log'!$D$5:$D$304&lt;&gt;"")*('Auction Log'!$E$5:$E$304&gt;0),0)),"SOLD"))</f>
        <v>Available</v>
      </c>
      <c r="E173" s="19" t="str">
        <f aca="false">IF(COUNTIFS('Auction Log'!$B$5:$B$304,A173,'Auction Log'!$D$5:$D$304,"&lt;&gt;",'Auction Log'!$E$5:$E$304,"&gt;0")=0,"",IFERROR(INDEX('Auction Log'!$E$5:$E$304,MATCH(1,('Auction Log'!$B$5:$B$304=A173)*('Auction Log'!$D$5:$D$304&lt;&gt;"")*('Auction Log'!$E$5:$E$304&gt;0),0)),""))</f>
        <v/>
      </c>
      <c r="F173" s="18" t="s">
        <v>118</v>
      </c>
      <c r="G173" s="18" t="s">
        <v>26</v>
      </c>
      <c r="H173" s="18" t="n">
        <v>6</v>
      </c>
      <c r="I173" s="18" t="n">
        <v>159</v>
      </c>
      <c r="J173" s="18" t="n">
        <v>9</v>
      </c>
      <c r="K173" s="36" t="n">
        <v>134</v>
      </c>
      <c r="L173" s="36" t="n">
        <v>115</v>
      </c>
      <c r="M173" s="19" t="n">
        <v>0</v>
      </c>
      <c r="N173" s="19" t="n">
        <v>3</v>
      </c>
      <c r="O173" s="19" t="n">
        <v>-1</v>
      </c>
      <c r="P173" s="19" t="n">
        <v>-1</v>
      </c>
      <c r="Q173" s="19" t="n">
        <v>0</v>
      </c>
      <c r="R173" s="19" t="n">
        <v>1</v>
      </c>
      <c r="S173" s="19" t="n">
        <v>1</v>
      </c>
      <c r="T173" s="18" t="s">
        <v>291</v>
      </c>
      <c r="U173" s="32"/>
      <c r="V173" s="19" t="str">
        <f aca="false">IF(E173="","",R173-E173)</f>
        <v/>
      </c>
      <c r="W173" s="18" t="s">
        <v>98</v>
      </c>
      <c r="X173" s="4" t="n">
        <f aca="false">IF(AND(D173="Available",R173&gt;=55),ROW(),9999)</f>
        <v>9999</v>
      </c>
      <c r="Y173" s="4" t="n">
        <f aca="false">IF(AND(D173="Available",R173&gt;=40,R173&lt;55),ROW(),9999)</f>
        <v>9999</v>
      </c>
      <c r="Z173" s="4" t="n">
        <f aca="false">IF(AND(D173="Available",R173&gt;=25,R173&lt;40),ROW(),9999)</f>
        <v>9999</v>
      </c>
      <c r="AA173" s="35" t="n">
        <f aca="false">IF(K173="","",IF(L173="",K173,ROUND(AVERAGE(K173,L173),0)))</f>
        <v>125</v>
      </c>
    </row>
    <row r="174" customFormat="false" ht="15" hidden="false" customHeight="false" outlineLevel="0" collapsed="false">
      <c r="A174" s="18" t="s">
        <v>325</v>
      </c>
      <c r="B174" s="19" t="n">
        <f aca="false">R174-N174</f>
        <v>1</v>
      </c>
      <c r="C174" s="18" t="str">
        <f aca="false">IF(B174&gt;=5,"SMASH BUY",IF(B174&gt;=2,"BUY",IF(B174&gt;=-1,"NEUTRAL",IF(B174&gt;=-4,"AVOID","DO NOT BID"))))</f>
        <v>NEUTRAL</v>
      </c>
      <c r="D174" s="18" t="str">
        <f aca="false">IF(COUNTIFS('Auction Log'!$B$5:$B$304,A174,'Auction Log'!$D$5:$D$304,"&lt;&gt;",'Auction Log'!$E$5:$E$304,"&gt;0")=0,"Available",IFERROR(INDEX('Auction Log'!$D$5:$D$304,MATCH(1,('Auction Log'!$B$5:$B$304=A174)*('Auction Log'!$D$5:$D$304&lt;&gt;"")*('Auction Log'!$E$5:$E$304&gt;0),0)),"SOLD"))</f>
        <v>Available</v>
      </c>
      <c r="E174" s="19" t="str">
        <f aca="false">IF(COUNTIFS('Auction Log'!$B$5:$B$304,A174,'Auction Log'!$D$5:$D$304,"&lt;&gt;",'Auction Log'!$E$5:$E$304,"&gt;0")=0,"",IFERROR(INDEX('Auction Log'!$E$5:$E$304,MATCH(1,('Auction Log'!$B$5:$B$304=A174)*('Auction Log'!$D$5:$D$304&lt;&gt;"")*('Auction Log'!$E$5:$E$304&gt;0),0)),""))</f>
        <v/>
      </c>
      <c r="F174" s="18" t="s">
        <v>156</v>
      </c>
      <c r="G174" s="18" t="s">
        <v>16</v>
      </c>
      <c r="H174" s="18" t="n">
        <v>5</v>
      </c>
      <c r="I174" s="18" t="n">
        <v>161</v>
      </c>
      <c r="J174" s="18" t="n">
        <v>9</v>
      </c>
      <c r="K174" s="36"/>
      <c r="L174" s="36" t="n">
        <v>237</v>
      </c>
      <c r="M174" s="19" t="n">
        <v>0</v>
      </c>
      <c r="N174" s="19" t="n">
        <v>0</v>
      </c>
      <c r="O174" s="19" t="n">
        <v>0</v>
      </c>
      <c r="P174" s="19" t="n">
        <v>0</v>
      </c>
      <c r="Q174" s="19" t="n">
        <v>0</v>
      </c>
      <c r="R174" s="19" t="n">
        <v>1</v>
      </c>
      <c r="S174" s="19" t="n">
        <v>1</v>
      </c>
      <c r="T174" s="18" t="s">
        <v>291</v>
      </c>
      <c r="U174" s="32"/>
      <c r="V174" s="19" t="str">
        <f aca="false">IF(E174="","",R174-E174)</f>
        <v/>
      </c>
      <c r="W174" s="18" t="s">
        <v>98</v>
      </c>
      <c r="X174" s="4" t="n">
        <f aca="false">IF(AND(D174="Available",R174&gt;=55),ROW(),9999)</f>
        <v>9999</v>
      </c>
      <c r="Y174" s="4" t="n">
        <f aca="false">IF(AND(D174="Available",R174&gt;=40,R174&lt;55),ROW(),9999)</f>
        <v>9999</v>
      </c>
      <c r="Z174" s="4" t="n">
        <f aca="false">IF(AND(D174="Available",R174&gt;=25,R174&lt;40),ROW(),9999)</f>
        <v>9999</v>
      </c>
      <c r="AA174" s="35" t="str">
        <f aca="false">IF(K174="","",IF(L174="",K174,ROUND(AVERAGE(K174,L174),0)))</f>
        <v/>
      </c>
    </row>
    <row r="175" customFormat="false" ht="28.5" hidden="false" customHeight="true" outlineLevel="0" collapsed="false">
      <c r="A175" s="18" t="s">
        <v>326</v>
      </c>
      <c r="B175" s="19" t="n">
        <f aca="false">R175-N175</f>
        <v>-2</v>
      </c>
      <c r="C175" s="18" t="str">
        <f aca="false">IF(B175&gt;=5,"SMASH BUY",IF(B175&gt;=2,"BUY",IF(B175&gt;=-1,"NEUTRAL",IF(B175&gt;=-4,"AVOID","DO NOT BID"))))</f>
        <v>AVOID</v>
      </c>
      <c r="D175" s="18" t="str">
        <f aca="false">IF(COUNTIFS('Auction Log'!$B$5:$B$304,A175,'Auction Log'!$D$5:$D$304,"&lt;&gt;",'Auction Log'!$E$5:$E$304,"&gt;0")=0,"Available",IFERROR(INDEX('Auction Log'!$D$5:$D$304,MATCH(1,('Auction Log'!$B$5:$B$304=A175)*('Auction Log'!$D$5:$D$304&lt;&gt;"")*('Auction Log'!$E$5:$E$304&gt;0),0)),"SOLD"))</f>
        <v>Available</v>
      </c>
      <c r="E175" s="19" t="str">
        <f aca="false">IF(COUNTIFS('Auction Log'!$B$5:$B$304,A175,'Auction Log'!$D$5:$D$304,"&lt;&gt;",'Auction Log'!$E$5:$E$304,"&gt;0")=0,"",IFERROR(INDEX('Auction Log'!$E$5:$E$304,MATCH(1,('Auction Log'!$B$5:$B$304=A175)*('Auction Log'!$D$5:$D$304&lt;&gt;"")*('Auction Log'!$E$5:$E$304&gt;0),0)),""))</f>
        <v/>
      </c>
      <c r="F175" s="18" t="s">
        <v>173</v>
      </c>
      <c r="G175" s="18" t="s">
        <v>26</v>
      </c>
      <c r="H175" s="18" t="n">
        <v>10</v>
      </c>
      <c r="I175" s="18" t="n">
        <v>162</v>
      </c>
      <c r="J175" s="18" t="n">
        <v>10</v>
      </c>
      <c r="K175" s="36" t="n">
        <v>134</v>
      </c>
      <c r="L175" s="36" t="n">
        <v>133</v>
      </c>
      <c r="M175" s="19" t="n">
        <v>1</v>
      </c>
      <c r="N175" s="19" t="n">
        <v>3</v>
      </c>
      <c r="O175" s="19" t="n">
        <v>-1</v>
      </c>
      <c r="P175" s="19" t="n">
        <v>-1</v>
      </c>
      <c r="Q175" s="19" t="n">
        <v>0</v>
      </c>
      <c r="R175" s="19" t="n">
        <v>1</v>
      </c>
      <c r="S175" s="19" t="n">
        <v>1</v>
      </c>
      <c r="T175" s="18" t="s">
        <v>291</v>
      </c>
      <c r="U175" s="32" t="s">
        <v>327</v>
      </c>
      <c r="V175" s="19" t="str">
        <f aca="false">IF(E175="","",R175-E175)</f>
        <v/>
      </c>
      <c r="W175" s="18" t="s">
        <v>98</v>
      </c>
      <c r="X175" s="4" t="n">
        <f aca="false">IF(AND(D175="Available",R175&gt;=55),ROW(),9999)</f>
        <v>9999</v>
      </c>
      <c r="Y175" s="4" t="n">
        <f aca="false">IF(AND(D175="Available",R175&gt;=40,R175&lt;55),ROW(),9999)</f>
        <v>9999</v>
      </c>
      <c r="Z175" s="4" t="n">
        <f aca="false">IF(AND(D175="Available",R175&gt;=25,R175&lt;40),ROW(),9999)</f>
        <v>9999</v>
      </c>
      <c r="AA175" s="35" t="n">
        <f aca="false">IF(K175="","",IF(L175="",K175,ROUND(AVERAGE(K175,L175),0)))</f>
        <v>134</v>
      </c>
    </row>
    <row r="176" customFormat="false" ht="15" hidden="false" customHeight="false" outlineLevel="0" collapsed="false">
      <c r="A176" s="18" t="s">
        <v>328</v>
      </c>
      <c r="B176" s="19" t="n">
        <f aca="false">R176-N176</f>
        <v>1</v>
      </c>
      <c r="C176" s="18" t="str">
        <f aca="false">IF(B176&gt;=5,"SMASH BUY",IF(B176&gt;=2,"BUY",IF(B176&gt;=-1,"NEUTRAL",IF(B176&gt;=-4,"AVOID","DO NOT BID"))))</f>
        <v>NEUTRAL</v>
      </c>
      <c r="D176" s="18" t="str">
        <f aca="false">IF(COUNTIFS('Auction Log'!$B$5:$B$304,A176,'Auction Log'!$D$5:$D$304,"&lt;&gt;",'Auction Log'!$E$5:$E$304,"&gt;0")=0,"Available",IFERROR(INDEX('Auction Log'!$D$5:$D$304,MATCH(1,('Auction Log'!$B$5:$B$304=A176)*('Auction Log'!$D$5:$D$304&lt;&gt;"")*('Auction Log'!$E$5:$E$304&gt;0),0)),"SOLD"))</f>
        <v>Available</v>
      </c>
      <c r="E176" s="19" t="str">
        <f aca="false">IF(COUNTIFS('Auction Log'!$B$5:$B$304,A176,'Auction Log'!$D$5:$D$304,"&lt;&gt;",'Auction Log'!$E$5:$E$304,"&gt;0")=0,"",IFERROR(INDEX('Auction Log'!$E$5:$E$304,MATCH(1,('Auction Log'!$B$5:$B$304=A176)*('Auction Log'!$D$5:$D$304&lt;&gt;"")*('Auction Log'!$E$5:$E$304&gt;0),0)),""))</f>
        <v/>
      </c>
      <c r="F176" s="18" t="s">
        <v>144</v>
      </c>
      <c r="G176" s="18" t="s">
        <v>26</v>
      </c>
      <c r="H176" s="18" t="n">
        <v>7</v>
      </c>
      <c r="I176" s="18" t="n">
        <v>168</v>
      </c>
      <c r="J176" s="18" t="n">
        <v>10</v>
      </c>
      <c r="K176" s="36"/>
      <c r="L176" s="36" t="n">
        <v>90</v>
      </c>
      <c r="M176" s="19" t="n">
        <v>0</v>
      </c>
      <c r="N176" s="19" t="n">
        <v>0</v>
      </c>
      <c r="O176" s="19" t="n">
        <v>0</v>
      </c>
      <c r="P176" s="19" t="n">
        <v>0</v>
      </c>
      <c r="Q176" s="19" t="n">
        <v>0</v>
      </c>
      <c r="R176" s="19" t="n">
        <v>1</v>
      </c>
      <c r="S176" s="19" t="n">
        <v>1</v>
      </c>
      <c r="T176" s="18" t="s">
        <v>291</v>
      </c>
      <c r="U176" s="32"/>
      <c r="V176" s="19" t="str">
        <f aca="false">IF(E176="","",R176-E176)</f>
        <v/>
      </c>
      <c r="W176" s="18" t="s">
        <v>98</v>
      </c>
      <c r="X176" s="4" t="n">
        <f aca="false">IF(AND(D176="Available",R176&gt;=55),ROW(),9999)</f>
        <v>9999</v>
      </c>
      <c r="Y176" s="4" t="n">
        <f aca="false">IF(AND(D176="Available",R176&gt;=40,R176&lt;55),ROW(),9999)</f>
        <v>9999</v>
      </c>
      <c r="Z176" s="4" t="n">
        <f aca="false">IF(AND(D176="Available",R176&gt;=25,R176&lt;40),ROW(),9999)</f>
        <v>9999</v>
      </c>
      <c r="AA176" s="35" t="str">
        <f aca="false">IF(K176="","",IF(L176="",K176,ROUND(AVERAGE(K176,L176),0)))</f>
        <v/>
      </c>
    </row>
    <row r="177" customFormat="false" ht="15" hidden="false" customHeight="false" outlineLevel="0" collapsed="false">
      <c r="A177" s="18" t="s">
        <v>329</v>
      </c>
      <c r="B177" s="19" t="n">
        <f aca="false">R177-N177</f>
        <v>1</v>
      </c>
      <c r="C177" s="18" t="str">
        <f aca="false">IF(B177&gt;=5,"SMASH BUY",IF(B177&gt;=2,"BUY",IF(B177&gt;=-1,"NEUTRAL",IF(B177&gt;=-4,"AVOID","DO NOT BID"))))</f>
        <v>NEUTRAL</v>
      </c>
      <c r="D177" s="18" t="str">
        <f aca="false">IF(COUNTIFS('Auction Log'!$B$5:$B$304,A177,'Auction Log'!$D$5:$D$304,"&lt;&gt;",'Auction Log'!$E$5:$E$304,"&gt;0")=0,"Available",IFERROR(INDEX('Auction Log'!$D$5:$D$304,MATCH(1,('Auction Log'!$B$5:$B$304=A177)*('Auction Log'!$D$5:$D$304&lt;&gt;"")*('Auction Log'!$E$5:$E$304&gt;0),0)),"SOLD"))</f>
        <v>Available</v>
      </c>
      <c r="E177" s="19" t="str">
        <f aca="false">IF(COUNTIFS('Auction Log'!$B$5:$B$304,A177,'Auction Log'!$D$5:$D$304,"&lt;&gt;",'Auction Log'!$E$5:$E$304,"&gt;0")=0,"",IFERROR(INDEX('Auction Log'!$E$5:$E$304,MATCH(1,('Auction Log'!$B$5:$B$304=A177)*('Auction Log'!$D$5:$D$304&lt;&gt;"")*('Auction Log'!$E$5:$E$304&gt;0),0)),""))</f>
        <v/>
      </c>
      <c r="F177" s="18" t="s">
        <v>148</v>
      </c>
      <c r="G177" s="18" t="s">
        <v>26</v>
      </c>
      <c r="H177" s="18" t="n">
        <v>13</v>
      </c>
      <c r="I177" s="18" t="n">
        <v>172</v>
      </c>
      <c r="J177" s="18" t="n">
        <v>10</v>
      </c>
      <c r="K177" s="36"/>
      <c r="L177" s="36" t="n">
        <v>67</v>
      </c>
      <c r="M177" s="19" t="n">
        <v>0</v>
      </c>
      <c r="N177" s="19" t="n">
        <v>0</v>
      </c>
      <c r="O177" s="19" t="n">
        <v>0</v>
      </c>
      <c r="P177" s="19" t="n">
        <v>0</v>
      </c>
      <c r="Q177" s="19" t="n">
        <v>0</v>
      </c>
      <c r="R177" s="19" t="n">
        <v>1</v>
      </c>
      <c r="S177" s="19" t="n">
        <v>1</v>
      </c>
      <c r="T177" s="18" t="s">
        <v>291</v>
      </c>
      <c r="U177" s="32"/>
      <c r="V177" s="19" t="str">
        <f aca="false">IF(E177="","",R177-E177)</f>
        <v/>
      </c>
      <c r="W177" s="18" t="s">
        <v>98</v>
      </c>
      <c r="X177" s="4" t="n">
        <f aca="false">IF(AND(D177="Available",R177&gt;=55),ROW(),9999)</f>
        <v>9999</v>
      </c>
      <c r="Y177" s="4" t="n">
        <f aca="false">IF(AND(D177="Available",R177&gt;=40,R177&lt;55),ROW(),9999)</f>
        <v>9999</v>
      </c>
      <c r="Z177" s="4" t="n">
        <f aca="false">IF(AND(D177="Available",R177&gt;=25,R177&lt;40),ROW(),9999)</f>
        <v>9999</v>
      </c>
      <c r="AA177" s="35" t="str">
        <f aca="false">IF(K177="","",IF(L177="",K177,ROUND(AVERAGE(K177,L177),0)))</f>
        <v/>
      </c>
    </row>
    <row r="178" customFormat="false" ht="15" hidden="false" customHeight="false" outlineLevel="0" collapsed="false">
      <c r="A178" s="18" t="s">
        <v>330</v>
      </c>
      <c r="B178" s="19" t="n">
        <f aca="false">R178-N178</f>
        <v>1</v>
      </c>
      <c r="C178" s="18" t="str">
        <f aca="false">IF(B178&gt;=5,"SMASH BUY",IF(B178&gt;=2,"BUY",IF(B178&gt;=-1,"NEUTRAL",IF(B178&gt;=-4,"AVOID","DO NOT BID"))))</f>
        <v>NEUTRAL</v>
      </c>
      <c r="D178" s="18" t="str">
        <f aca="false">IF(COUNTIFS('Auction Log'!$B$5:$B$304,A178,'Auction Log'!$D$5:$D$304,"&lt;&gt;",'Auction Log'!$E$5:$E$304,"&gt;0")=0,"Available",IFERROR(INDEX('Auction Log'!$D$5:$D$304,MATCH(1,('Auction Log'!$B$5:$B$304=A178)*('Auction Log'!$D$5:$D$304&lt;&gt;"")*('Auction Log'!$E$5:$E$304&gt;0),0)),"SOLD"))</f>
        <v>Available</v>
      </c>
      <c r="E178" s="19" t="str">
        <f aca="false">IF(COUNTIFS('Auction Log'!$B$5:$B$304,A178,'Auction Log'!$D$5:$D$304,"&lt;&gt;",'Auction Log'!$E$5:$E$304,"&gt;0")=0,"",IFERROR(INDEX('Auction Log'!$E$5:$E$304,MATCH(1,('Auction Log'!$B$5:$B$304=A178)*('Auction Log'!$D$5:$D$304&lt;&gt;"")*('Auction Log'!$E$5:$E$304&gt;0),0)),""))</f>
        <v/>
      </c>
      <c r="F178" s="18" t="s">
        <v>136</v>
      </c>
      <c r="G178" s="18" t="s">
        <v>16</v>
      </c>
      <c r="H178" s="18" t="n">
        <v>14</v>
      </c>
      <c r="I178" s="18" t="n">
        <v>173</v>
      </c>
      <c r="J178" s="18" t="n">
        <v>10</v>
      </c>
      <c r="K178" s="36"/>
      <c r="L178" s="36" t="n">
        <v>199</v>
      </c>
      <c r="M178" s="19" t="n">
        <v>0</v>
      </c>
      <c r="N178" s="19" t="n">
        <v>0</v>
      </c>
      <c r="O178" s="19" t="n">
        <v>0</v>
      </c>
      <c r="P178" s="19" t="n">
        <v>0</v>
      </c>
      <c r="Q178" s="19" t="n">
        <v>0</v>
      </c>
      <c r="R178" s="19" t="n">
        <v>1</v>
      </c>
      <c r="S178" s="19" t="n">
        <v>1</v>
      </c>
      <c r="T178" s="18" t="s">
        <v>291</v>
      </c>
      <c r="U178" s="32"/>
      <c r="V178" s="19" t="str">
        <f aca="false">IF(E178="","",R178-E178)</f>
        <v/>
      </c>
      <c r="W178" s="18" t="s">
        <v>98</v>
      </c>
      <c r="X178" s="4" t="n">
        <f aca="false">IF(AND(D178="Available",R178&gt;=55),ROW(),9999)</f>
        <v>9999</v>
      </c>
      <c r="Y178" s="4" t="n">
        <f aca="false">IF(AND(D178="Available",R178&gt;=40,R178&lt;55),ROW(),9999)</f>
        <v>9999</v>
      </c>
      <c r="Z178" s="4" t="n">
        <f aca="false">IF(AND(D178="Available",R178&gt;=25,R178&lt;40),ROW(),9999)</f>
        <v>9999</v>
      </c>
      <c r="AA178" s="35" t="str">
        <f aca="false">IF(K178="","",IF(L178="",K178,ROUND(AVERAGE(K178,L178),0)))</f>
        <v/>
      </c>
    </row>
    <row r="179" customFormat="false" ht="15" hidden="false" customHeight="false" outlineLevel="0" collapsed="false">
      <c r="A179" s="18" t="s">
        <v>331</v>
      </c>
      <c r="B179" s="19" t="n">
        <f aca="false">R179-N179</f>
        <v>1</v>
      </c>
      <c r="C179" s="18" t="str">
        <f aca="false">IF(B179&gt;=5,"SMASH BUY",IF(B179&gt;=2,"BUY",IF(B179&gt;=-1,"NEUTRAL",IF(B179&gt;=-4,"AVOID","DO NOT BID"))))</f>
        <v>NEUTRAL</v>
      </c>
      <c r="D179" s="18" t="str">
        <f aca="false">IF(COUNTIFS('Auction Log'!$B$5:$B$304,A179,'Auction Log'!$D$5:$D$304,"&lt;&gt;",'Auction Log'!$E$5:$E$304,"&gt;0")=0,"Available",IFERROR(INDEX('Auction Log'!$D$5:$D$304,MATCH(1,('Auction Log'!$B$5:$B$304=A179)*('Auction Log'!$D$5:$D$304&lt;&gt;"")*('Auction Log'!$E$5:$E$304&gt;0),0)),"SOLD"))</f>
        <v>Available</v>
      </c>
      <c r="E179" s="19" t="str">
        <f aca="false">IF(COUNTIFS('Auction Log'!$B$5:$B$304,A179,'Auction Log'!$D$5:$D$304,"&lt;&gt;",'Auction Log'!$E$5:$E$304,"&gt;0")=0,"",IFERROR(INDEX('Auction Log'!$E$5:$E$304,MATCH(1,('Auction Log'!$B$5:$B$304=A179)*('Auction Log'!$D$5:$D$304&lt;&gt;"")*('Auction Log'!$E$5:$E$304&gt;0),0)),""))</f>
        <v/>
      </c>
      <c r="F179" s="18" t="s">
        <v>158</v>
      </c>
      <c r="G179" s="18" t="s">
        <v>21</v>
      </c>
      <c r="H179" s="18" t="n">
        <v>11</v>
      </c>
      <c r="I179" s="18" t="n">
        <v>174</v>
      </c>
      <c r="J179" s="18" t="n">
        <v>10</v>
      </c>
      <c r="K179" s="36"/>
      <c r="L179" s="36" t="n">
        <v>86</v>
      </c>
      <c r="M179" s="19" t="n">
        <v>0</v>
      </c>
      <c r="N179" s="19" t="n">
        <v>0</v>
      </c>
      <c r="O179" s="19" t="n">
        <v>0</v>
      </c>
      <c r="P179" s="19" t="n">
        <v>0</v>
      </c>
      <c r="Q179" s="19" t="n">
        <v>0</v>
      </c>
      <c r="R179" s="19" t="n">
        <v>1</v>
      </c>
      <c r="S179" s="19" t="n">
        <v>1</v>
      </c>
      <c r="T179" s="18" t="s">
        <v>291</v>
      </c>
      <c r="U179" s="32"/>
      <c r="V179" s="19" t="str">
        <f aca="false">IF(E179="","",R179-E179)</f>
        <v/>
      </c>
      <c r="W179" s="18" t="s">
        <v>98</v>
      </c>
      <c r="X179" s="4" t="n">
        <f aca="false">IF(AND(D179="Available",R179&gt;=55),ROW(),9999)</f>
        <v>9999</v>
      </c>
      <c r="Y179" s="4" t="n">
        <f aca="false">IF(AND(D179="Available",R179&gt;=40,R179&lt;55),ROW(),9999)</f>
        <v>9999</v>
      </c>
      <c r="Z179" s="4" t="n">
        <f aca="false">IF(AND(D179="Available",R179&gt;=25,R179&lt;40),ROW(),9999)</f>
        <v>9999</v>
      </c>
      <c r="AA179" s="35" t="str">
        <f aca="false">IF(K179="","",IF(L179="",K179,ROUND(AVERAGE(K179,L179),0)))</f>
        <v/>
      </c>
    </row>
    <row r="180" customFormat="false" ht="15" hidden="false" customHeight="false" outlineLevel="0" collapsed="false">
      <c r="A180" s="18" t="s">
        <v>332</v>
      </c>
      <c r="B180" s="19" t="n">
        <f aca="false">R180-N180</f>
        <v>1</v>
      </c>
      <c r="C180" s="18" t="str">
        <f aca="false">IF(B180&gt;=5,"SMASH BUY",IF(B180&gt;=2,"BUY",IF(B180&gt;=-1,"NEUTRAL",IF(B180&gt;=-4,"AVOID","DO NOT BID"))))</f>
        <v>NEUTRAL</v>
      </c>
      <c r="D180" s="18" t="str">
        <f aca="false">IF(COUNTIFS('Auction Log'!$B$5:$B$304,A180,'Auction Log'!$D$5:$D$304,"&lt;&gt;",'Auction Log'!$E$5:$E$304,"&gt;0")=0,"Available",IFERROR(INDEX('Auction Log'!$D$5:$D$304,MATCH(1,('Auction Log'!$B$5:$B$304=A180)*('Auction Log'!$D$5:$D$304&lt;&gt;"")*('Auction Log'!$E$5:$E$304&gt;0),0)),"SOLD"))</f>
        <v>Available</v>
      </c>
      <c r="E180" s="19" t="str">
        <f aca="false">IF(COUNTIFS('Auction Log'!$B$5:$B$304,A180,'Auction Log'!$D$5:$D$304,"&lt;&gt;",'Auction Log'!$E$5:$E$304,"&gt;0")=0,"",IFERROR(INDEX('Auction Log'!$E$5:$E$304,MATCH(1,('Auction Log'!$B$5:$B$304=A180)*('Auction Log'!$D$5:$D$304&lt;&gt;"")*('Auction Log'!$E$5:$E$304&gt;0),0)),""))</f>
        <v/>
      </c>
      <c r="F180" s="18" t="s">
        <v>138</v>
      </c>
      <c r="G180" s="18" t="s">
        <v>26</v>
      </c>
      <c r="H180" s="18" t="n">
        <v>10</v>
      </c>
      <c r="I180" s="18" t="n">
        <v>175</v>
      </c>
      <c r="J180" s="18" t="n">
        <v>10</v>
      </c>
      <c r="K180" s="36"/>
      <c r="L180" s="36" t="n">
        <v>108</v>
      </c>
      <c r="M180" s="19" t="n">
        <v>0</v>
      </c>
      <c r="N180" s="19" t="n">
        <v>0</v>
      </c>
      <c r="O180" s="19" t="n">
        <v>0</v>
      </c>
      <c r="P180" s="19" t="n">
        <v>0</v>
      </c>
      <c r="Q180" s="19" t="n">
        <v>0</v>
      </c>
      <c r="R180" s="19" t="n">
        <v>1</v>
      </c>
      <c r="S180" s="19" t="n">
        <v>1</v>
      </c>
      <c r="T180" s="18" t="s">
        <v>291</v>
      </c>
      <c r="U180" s="32"/>
      <c r="V180" s="19" t="str">
        <f aca="false">IF(E180="","",R180-E180)</f>
        <v/>
      </c>
      <c r="W180" s="18" t="s">
        <v>98</v>
      </c>
      <c r="X180" s="4" t="n">
        <f aca="false">IF(AND(D180="Available",R180&gt;=55),ROW(),9999)</f>
        <v>9999</v>
      </c>
      <c r="Y180" s="4" t="n">
        <f aca="false">IF(AND(D180="Available",R180&gt;=40,R180&lt;55),ROW(),9999)</f>
        <v>9999</v>
      </c>
      <c r="Z180" s="4" t="n">
        <f aca="false">IF(AND(D180="Available",R180&gt;=25,R180&lt;40),ROW(),9999)</f>
        <v>9999</v>
      </c>
      <c r="AA180" s="35" t="str">
        <f aca="false">IF(K180="","",IF(L180="",K180,ROUND(AVERAGE(K180,L180),0)))</f>
        <v/>
      </c>
    </row>
    <row r="181" customFormat="false" ht="15" hidden="false" customHeight="false" outlineLevel="0" collapsed="false">
      <c r="A181" s="18" t="s">
        <v>333</v>
      </c>
      <c r="B181" s="19" t="n">
        <f aca="false">R181-N181</f>
        <v>0</v>
      </c>
      <c r="C181" s="18" t="str">
        <f aca="false">IF(B181&gt;=5,"SMASH BUY",IF(B181&gt;=2,"BUY",IF(B181&gt;=-1,"NEUTRAL",IF(B181&gt;=-4,"AVOID","DO NOT BID"))))</f>
        <v>NEUTRAL</v>
      </c>
      <c r="D181" s="18" t="str">
        <f aca="false">IF(COUNTIFS('Auction Log'!$B$5:$B$304,A181,'Auction Log'!$D$5:$D$304,"&lt;&gt;",'Auction Log'!$E$5:$E$304,"&gt;0")=0,"Available",IFERROR(INDEX('Auction Log'!$D$5:$D$304,MATCH(1,('Auction Log'!$B$5:$B$304=A181)*('Auction Log'!$D$5:$D$304&lt;&gt;"")*('Auction Log'!$E$5:$E$304&gt;0),0)),"SOLD"))</f>
        <v>Available</v>
      </c>
      <c r="E181" s="19" t="str">
        <f aca="false">IF(COUNTIFS('Auction Log'!$B$5:$B$304,A181,'Auction Log'!$D$5:$D$304,"&lt;&gt;",'Auction Log'!$E$5:$E$304,"&gt;0")=0,"",IFERROR(INDEX('Auction Log'!$E$5:$E$304,MATCH(1,('Auction Log'!$B$5:$B$304=A181)*('Auction Log'!$D$5:$D$304&lt;&gt;"")*('Auction Log'!$E$5:$E$304&gt;0),0)),""))</f>
        <v/>
      </c>
      <c r="F181" s="18" t="s">
        <v>138</v>
      </c>
      <c r="G181" s="18" t="s">
        <v>34</v>
      </c>
      <c r="H181" s="18" t="n">
        <v>10</v>
      </c>
      <c r="I181" s="18" t="n">
        <v>176</v>
      </c>
      <c r="J181" s="18" t="n">
        <v>10</v>
      </c>
      <c r="K181" s="36" t="n">
        <v>103</v>
      </c>
      <c r="L181" s="36"/>
      <c r="M181" s="19" t="n">
        <v>0</v>
      </c>
      <c r="N181" s="19" t="n">
        <v>1</v>
      </c>
      <c r="O181" s="19" t="n">
        <v>0</v>
      </c>
      <c r="P181" s="19" t="n">
        <v>0</v>
      </c>
      <c r="Q181" s="19" t="n">
        <v>0</v>
      </c>
      <c r="R181" s="19" t="n">
        <v>1</v>
      </c>
      <c r="S181" s="19" t="n">
        <v>1</v>
      </c>
      <c r="T181" s="18" t="s">
        <v>291</v>
      </c>
      <c r="U181" s="32"/>
      <c r="V181" s="19" t="str">
        <f aca="false">IF(E181="","",R181-E181)</f>
        <v/>
      </c>
      <c r="W181" s="18" t="s">
        <v>98</v>
      </c>
      <c r="X181" s="4" t="n">
        <f aca="false">IF(AND(D181="Available",R181&gt;=55),ROW(),9999)</f>
        <v>9999</v>
      </c>
      <c r="Y181" s="4" t="n">
        <f aca="false">IF(AND(D181="Available",R181&gt;=40,R181&lt;55),ROW(),9999)</f>
        <v>9999</v>
      </c>
      <c r="Z181" s="4" t="n">
        <f aca="false">IF(AND(D181="Available",R181&gt;=25,R181&lt;40),ROW(),9999)</f>
        <v>9999</v>
      </c>
      <c r="AA181" s="35" t="n">
        <f aca="false">IF(K181="","",IF(L181="",K181,ROUND(AVERAGE(K181,L181),0)))</f>
        <v>103</v>
      </c>
    </row>
    <row r="182" customFormat="false" ht="15" hidden="false" customHeight="false" outlineLevel="0" collapsed="false">
      <c r="A182" s="18" t="s">
        <v>334</v>
      </c>
      <c r="B182" s="19" t="n">
        <f aca="false">R182-N182</f>
        <v>1</v>
      </c>
      <c r="C182" s="18" t="str">
        <f aca="false">IF(B182&gt;=5,"SMASH BUY",IF(B182&gt;=2,"BUY",IF(B182&gt;=-1,"NEUTRAL",IF(B182&gt;=-4,"AVOID","DO NOT BID"))))</f>
        <v>NEUTRAL</v>
      </c>
      <c r="D182" s="18" t="str">
        <f aca="false">IF(COUNTIFS('Auction Log'!$B$5:$B$304,A182,'Auction Log'!$D$5:$D$304,"&lt;&gt;",'Auction Log'!$E$5:$E$304,"&gt;0")=0,"Available",IFERROR(INDEX('Auction Log'!$D$5:$D$304,MATCH(1,('Auction Log'!$B$5:$B$304=A182)*('Auction Log'!$D$5:$D$304&lt;&gt;"")*('Auction Log'!$E$5:$E$304&gt;0),0)),"SOLD"))</f>
        <v>Available</v>
      </c>
      <c r="E182" s="19" t="str">
        <f aca="false">IF(COUNTIFS('Auction Log'!$B$5:$B$304,A182,'Auction Log'!$D$5:$D$304,"&lt;&gt;",'Auction Log'!$E$5:$E$304,"&gt;0")=0,"",IFERROR(INDEX('Auction Log'!$E$5:$E$304,MATCH(1,('Auction Log'!$B$5:$B$304=A182)*('Auction Log'!$D$5:$D$304&lt;&gt;"")*('Auction Log'!$E$5:$E$304&gt;0),0)),""))</f>
        <v/>
      </c>
      <c r="F182" s="18" t="s">
        <v>115</v>
      </c>
      <c r="G182" s="18" t="s">
        <v>26</v>
      </c>
      <c r="H182" s="18" t="n">
        <v>14</v>
      </c>
      <c r="I182" s="18" t="n">
        <v>177</v>
      </c>
      <c r="J182" s="18" t="n">
        <v>10</v>
      </c>
      <c r="K182" s="36"/>
      <c r="L182" s="36" t="n">
        <v>89</v>
      </c>
      <c r="M182" s="19" t="n">
        <v>0</v>
      </c>
      <c r="N182" s="19" t="n">
        <v>0</v>
      </c>
      <c r="O182" s="19" t="n">
        <v>0</v>
      </c>
      <c r="P182" s="19" t="n">
        <v>0</v>
      </c>
      <c r="Q182" s="19" t="n">
        <v>0</v>
      </c>
      <c r="R182" s="19" t="n">
        <v>1</v>
      </c>
      <c r="S182" s="19" t="n">
        <v>1</v>
      </c>
      <c r="T182" s="18" t="s">
        <v>291</v>
      </c>
      <c r="U182" s="32"/>
      <c r="V182" s="19" t="str">
        <f aca="false">IF(E182="","",R182-E182)</f>
        <v/>
      </c>
      <c r="W182" s="18" t="s">
        <v>98</v>
      </c>
      <c r="X182" s="4" t="n">
        <f aca="false">IF(AND(D182="Available",R182&gt;=55),ROW(),9999)</f>
        <v>9999</v>
      </c>
      <c r="Y182" s="4" t="n">
        <f aca="false">IF(AND(D182="Available",R182&gt;=40,R182&lt;55),ROW(),9999)</f>
        <v>9999</v>
      </c>
      <c r="Z182" s="4" t="n">
        <f aca="false">IF(AND(D182="Available",R182&gt;=25,R182&lt;40),ROW(),9999)</f>
        <v>9999</v>
      </c>
      <c r="AA182" s="35" t="str">
        <f aca="false">IF(K182="","",IF(L182="",K182,ROUND(AVERAGE(K182,L182),0)))</f>
        <v/>
      </c>
    </row>
    <row r="183" customFormat="false" ht="15" hidden="false" customHeight="false" outlineLevel="0" collapsed="false">
      <c r="A183" s="18" t="s">
        <v>335</v>
      </c>
      <c r="B183" s="19" t="n">
        <f aca="false">R183-N183</f>
        <v>1</v>
      </c>
      <c r="C183" s="18" t="str">
        <f aca="false">IF(B183&gt;=5,"SMASH BUY",IF(B183&gt;=2,"BUY",IF(B183&gt;=-1,"NEUTRAL",IF(B183&gt;=-4,"AVOID","DO NOT BID"))))</f>
        <v>NEUTRAL</v>
      </c>
      <c r="D183" s="18" t="str">
        <f aca="false">IF(COUNTIFS('Auction Log'!$B$5:$B$304,A183,'Auction Log'!$D$5:$D$304,"&lt;&gt;",'Auction Log'!$E$5:$E$304,"&gt;0")=0,"Available",IFERROR(INDEX('Auction Log'!$D$5:$D$304,MATCH(1,('Auction Log'!$B$5:$B$304=A183)*('Auction Log'!$D$5:$D$304&lt;&gt;"")*('Auction Log'!$E$5:$E$304&gt;0),0)),"SOLD"))</f>
        <v>Available</v>
      </c>
      <c r="E183" s="19" t="str">
        <f aca="false">IF(COUNTIFS('Auction Log'!$B$5:$B$304,A183,'Auction Log'!$D$5:$D$304,"&lt;&gt;",'Auction Log'!$E$5:$E$304,"&gt;0")=0,"",IFERROR(INDEX('Auction Log'!$E$5:$E$304,MATCH(1,('Auction Log'!$B$5:$B$304=A183)*('Auction Log'!$D$5:$D$304&lt;&gt;"")*('Auction Log'!$E$5:$E$304&gt;0),0)),""))</f>
        <v/>
      </c>
      <c r="F183" s="18" t="s">
        <v>171</v>
      </c>
      <c r="G183" s="18" t="s">
        <v>26</v>
      </c>
      <c r="H183" s="18" t="n">
        <v>10</v>
      </c>
      <c r="I183" s="18" t="n">
        <v>178</v>
      </c>
      <c r="J183" s="18" t="n">
        <v>10</v>
      </c>
      <c r="K183" s="36"/>
      <c r="L183" s="36" t="n">
        <v>73</v>
      </c>
      <c r="M183" s="19" t="n">
        <v>0</v>
      </c>
      <c r="N183" s="19" t="n">
        <v>0</v>
      </c>
      <c r="O183" s="19" t="n">
        <v>0</v>
      </c>
      <c r="P183" s="19" t="n">
        <v>0</v>
      </c>
      <c r="Q183" s="19" t="n">
        <v>0</v>
      </c>
      <c r="R183" s="19" t="n">
        <v>1</v>
      </c>
      <c r="S183" s="19" t="n">
        <v>1</v>
      </c>
      <c r="T183" s="18" t="s">
        <v>291</v>
      </c>
      <c r="U183" s="32"/>
      <c r="V183" s="19" t="str">
        <f aca="false">IF(E183="","",R183-E183)</f>
        <v/>
      </c>
      <c r="W183" s="18" t="s">
        <v>98</v>
      </c>
      <c r="X183" s="4" t="n">
        <f aca="false">IF(AND(D183="Available",R183&gt;=55),ROW(),9999)</f>
        <v>9999</v>
      </c>
      <c r="Y183" s="4" t="n">
        <f aca="false">IF(AND(D183="Available",R183&gt;=40,R183&lt;55),ROW(),9999)</f>
        <v>9999</v>
      </c>
      <c r="Z183" s="4" t="n">
        <f aca="false">IF(AND(D183="Available",R183&gt;=25,R183&lt;40),ROW(),9999)</f>
        <v>9999</v>
      </c>
      <c r="AA183" s="35" t="str">
        <f aca="false">IF(K183="","",IF(L183="",K183,ROUND(AVERAGE(K183,L183),0)))</f>
        <v/>
      </c>
    </row>
    <row r="184" customFormat="false" ht="15" hidden="false" customHeight="false" outlineLevel="0" collapsed="false">
      <c r="A184" s="18" t="s">
        <v>336</v>
      </c>
      <c r="B184" s="19" t="n">
        <f aca="false">R184-N184</f>
        <v>-2</v>
      </c>
      <c r="C184" s="18" t="str">
        <f aca="false">IF(B184&gt;=5,"SMASH BUY",IF(B184&gt;=2,"BUY",IF(B184&gt;=-1,"NEUTRAL",IF(B184&gt;=-4,"AVOID","DO NOT BID"))))</f>
        <v>AVOID</v>
      </c>
      <c r="D184" s="18" t="str">
        <f aca="false">IF(COUNTIFS('Auction Log'!$B$5:$B$304,A184,'Auction Log'!$D$5:$D$304,"&lt;&gt;",'Auction Log'!$E$5:$E$304,"&gt;0")=0,"Available",IFERROR(INDEX('Auction Log'!$D$5:$D$304,MATCH(1,('Auction Log'!$B$5:$B$304=A184)*('Auction Log'!$D$5:$D$304&lt;&gt;"")*('Auction Log'!$E$5:$E$304&gt;0),0)),"SOLD"))</f>
        <v>Available</v>
      </c>
      <c r="E184" s="19" t="str">
        <f aca="false">IF(COUNTIFS('Auction Log'!$B$5:$B$304,A184,'Auction Log'!$D$5:$D$304,"&lt;&gt;",'Auction Log'!$E$5:$E$304,"&gt;0")=0,"",IFERROR(INDEX('Auction Log'!$E$5:$E$304,MATCH(1,('Auction Log'!$B$5:$B$304=A184)*('Auction Log'!$D$5:$D$304&lt;&gt;"")*('Auction Log'!$E$5:$E$304&gt;0),0)),""))</f>
        <v/>
      </c>
      <c r="F184" s="18" t="s">
        <v>141</v>
      </c>
      <c r="G184" s="18" t="s">
        <v>26</v>
      </c>
      <c r="H184" s="18" t="n">
        <v>13</v>
      </c>
      <c r="I184" s="18" t="n">
        <v>179</v>
      </c>
      <c r="J184" s="18" t="n">
        <v>10</v>
      </c>
      <c r="K184" s="36" t="n">
        <v>127</v>
      </c>
      <c r="L184" s="36" t="n">
        <v>124</v>
      </c>
      <c r="M184" s="19" t="n">
        <v>0</v>
      </c>
      <c r="N184" s="19" t="n">
        <v>3</v>
      </c>
      <c r="O184" s="19" t="n">
        <v>-2</v>
      </c>
      <c r="P184" s="19" t="n">
        <v>-1</v>
      </c>
      <c r="Q184" s="19" t="n">
        <v>0</v>
      </c>
      <c r="R184" s="19" t="n">
        <v>1</v>
      </c>
      <c r="S184" s="19" t="n">
        <v>1</v>
      </c>
      <c r="T184" s="18" t="s">
        <v>291</v>
      </c>
      <c r="U184" s="32"/>
      <c r="V184" s="19" t="str">
        <f aca="false">IF(E184="","",R184-E184)</f>
        <v/>
      </c>
      <c r="W184" s="18" t="s">
        <v>98</v>
      </c>
      <c r="X184" s="4" t="n">
        <f aca="false">IF(AND(D184="Available",R184&gt;=55),ROW(),9999)</f>
        <v>9999</v>
      </c>
      <c r="Y184" s="4" t="n">
        <f aca="false">IF(AND(D184="Available",R184&gt;=40,R184&lt;55),ROW(),9999)</f>
        <v>9999</v>
      </c>
      <c r="Z184" s="4" t="n">
        <f aca="false">IF(AND(D184="Available",R184&gt;=25,R184&lt;40),ROW(),9999)</f>
        <v>9999</v>
      </c>
      <c r="AA184" s="35" t="n">
        <f aca="false">IF(K184="","",IF(L184="",K184,ROUND(AVERAGE(K184,L184),0)))</f>
        <v>126</v>
      </c>
    </row>
    <row r="185" customFormat="false" ht="15" hidden="false" customHeight="false" outlineLevel="0" collapsed="false">
      <c r="A185" s="18" t="s">
        <v>337</v>
      </c>
      <c r="B185" s="19" t="n">
        <f aca="false">R185-N185</f>
        <v>0</v>
      </c>
      <c r="C185" s="18" t="str">
        <f aca="false">IF(B185&gt;=5,"SMASH BUY",IF(B185&gt;=2,"BUY",IF(B185&gt;=-1,"NEUTRAL",IF(B185&gt;=-4,"AVOID","DO NOT BID"))))</f>
        <v>NEUTRAL</v>
      </c>
      <c r="D185" s="18" t="str">
        <f aca="false">IF(COUNTIFS('Auction Log'!$B$5:$B$304,A185,'Auction Log'!$D$5:$D$304,"&lt;&gt;",'Auction Log'!$E$5:$E$304,"&gt;0")=0,"Available",IFERROR(INDEX('Auction Log'!$D$5:$D$304,MATCH(1,('Auction Log'!$B$5:$B$304=A185)*('Auction Log'!$D$5:$D$304&lt;&gt;"")*('Auction Log'!$E$5:$E$304&gt;0),0)),"SOLD"))</f>
        <v>Available</v>
      </c>
      <c r="E185" s="19" t="str">
        <f aca="false">IF(COUNTIFS('Auction Log'!$B$5:$B$304,A185,'Auction Log'!$D$5:$D$304,"&lt;&gt;",'Auction Log'!$E$5:$E$304,"&gt;0")=0,"",IFERROR(INDEX('Auction Log'!$E$5:$E$304,MATCH(1,('Auction Log'!$B$5:$B$304=A185)*('Auction Log'!$D$5:$D$304&lt;&gt;"")*('Auction Log'!$E$5:$E$304&gt;0),0)),""))</f>
        <v/>
      </c>
      <c r="F185" s="18" t="s">
        <v>134</v>
      </c>
      <c r="G185" s="18" t="s">
        <v>26</v>
      </c>
      <c r="H185" s="18" t="n">
        <v>8</v>
      </c>
      <c r="I185" s="18" t="n">
        <v>180</v>
      </c>
      <c r="J185" s="18" t="n">
        <v>10</v>
      </c>
      <c r="K185" s="36" t="n">
        <v>110</v>
      </c>
      <c r="L185" s="36" t="n">
        <v>87</v>
      </c>
      <c r="M185" s="19" t="n">
        <v>0</v>
      </c>
      <c r="N185" s="19" t="n">
        <v>1</v>
      </c>
      <c r="O185" s="19" t="n">
        <v>0</v>
      </c>
      <c r="P185" s="19" t="n">
        <v>-1</v>
      </c>
      <c r="Q185" s="19" t="n">
        <v>0</v>
      </c>
      <c r="R185" s="19" t="n">
        <v>1</v>
      </c>
      <c r="S185" s="19" t="n">
        <v>1</v>
      </c>
      <c r="T185" s="18" t="s">
        <v>291</v>
      </c>
      <c r="U185" s="32"/>
      <c r="V185" s="19" t="str">
        <f aca="false">IF(E185="","",R185-E185)</f>
        <v/>
      </c>
      <c r="W185" s="18" t="s">
        <v>98</v>
      </c>
      <c r="X185" s="4" t="n">
        <f aca="false">IF(AND(D185="Available",R185&gt;=55),ROW(),9999)</f>
        <v>9999</v>
      </c>
      <c r="Y185" s="4" t="n">
        <f aca="false">IF(AND(D185="Available",R185&gt;=40,R185&lt;55),ROW(),9999)</f>
        <v>9999</v>
      </c>
      <c r="Z185" s="4" t="n">
        <f aca="false">IF(AND(D185="Available",R185&gt;=25,R185&lt;40),ROW(),9999)</f>
        <v>9999</v>
      </c>
      <c r="AA185" s="35" t="n">
        <f aca="false">IF(K185="","",IF(L185="",K185,ROUND(AVERAGE(K185,L185),0)))</f>
        <v>99</v>
      </c>
    </row>
    <row r="186" customFormat="false" ht="15" hidden="false" customHeight="false" outlineLevel="0" collapsed="false">
      <c r="A186" s="18" t="s">
        <v>338</v>
      </c>
      <c r="B186" s="19" t="n">
        <f aca="false">R186-N186</f>
        <v>0</v>
      </c>
      <c r="C186" s="18" t="str">
        <f aca="false">IF(B186&gt;=5,"SMASH BUY",IF(B186&gt;=2,"BUY",IF(B186&gt;=-1,"NEUTRAL",IF(B186&gt;=-4,"AVOID","DO NOT BID"))))</f>
        <v>NEUTRAL</v>
      </c>
      <c r="D186" s="18" t="str">
        <f aca="false">IF(COUNTIFS('Auction Log'!$B$5:$B$304,A186,'Auction Log'!$D$5:$D$304,"&lt;&gt;",'Auction Log'!$E$5:$E$304,"&gt;0")=0,"Available",IFERROR(INDEX('Auction Log'!$D$5:$D$304,MATCH(1,('Auction Log'!$B$5:$B$304=A186)*('Auction Log'!$D$5:$D$304&lt;&gt;"")*('Auction Log'!$E$5:$E$304&gt;0),0)),"SOLD"))</f>
        <v>Available</v>
      </c>
      <c r="E186" s="19" t="str">
        <f aca="false">IF(COUNTIFS('Auction Log'!$B$5:$B$304,A186,'Auction Log'!$D$5:$D$304,"&lt;&gt;",'Auction Log'!$E$5:$E$304,"&gt;0")=0,"",IFERROR(INDEX('Auction Log'!$E$5:$E$304,MATCH(1,('Auction Log'!$B$5:$B$304=A186)*('Auction Log'!$D$5:$D$304&lt;&gt;"")*('Auction Log'!$E$5:$E$304&gt;0),0)),""))</f>
        <v/>
      </c>
      <c r="F186" s="18" t="s">
        <v>120</v>
      </c>
      <c r="G186" s="18" t="s">
        <v>26</v>
      </c>
      <c r="H186" s="18" t="n">
        <v>6</v>
      </c>
      <c r="I186" s="18" t="n">
        <v>181</v>
      </c>
      <c r="J186" s="18" t="n">
        <v>10</v>
      </c>
      <c r="K186" s="36" t="n">
        <v>112</v>
      </c>
      <c r="L186" s="36" t="n">
        <v>116</v>
      </c>
      <c r="M186" s="19" t="n">
        <v>0</v>
      </c>
      <c r="N186" s="19" t="n">
        <v>1</v>
      </c>
      <c r="O186" s="19" t="n">
        <v>0</v>
      </c>
      <c r="P186" s="19" t="n">
        <v>-1</v>
      </c>
      <c r="Q186" s="19" t="n">
        <v>0</v>
      </c>
      <c r="R186" s="19" t="n">
        <v>1</v>
      </c>
      <c r="S186" s="19" t="n">
        <v>1</v>
      </c>
      <c r="T186" s="18" t="s">
        <v>291</v>
      </c>
      <c r="U186" s="32"/>
      <c r="V186" s="19" t="str">
        <f aca="false">IF(E186="","",R186-E186)</f>
        <v/>
      </c>
      <c r="W186" s="18" t="s">
        <v>98</v>
      </c>
      <c r="X186" s="4" t="n">
        <f aca="false">IF(AND(D186="Available",R186&gt;=55),ROW(),9999)</f>
        <v>9999</v>
      </c>
      <c r="Y186" s="4" t="n">
        <f aca="false">IF(AND(D186="Available",R186&gt;=40,R186&lt;55),ROW(),9999)</f>
        <v>9999</v>
      </c>
      <c r="Z186" s="4" t="n">
        <f aca="false">IF(AND(D186="Available",R186&gt;=25,R186&lt;40),ROW(),9999)</f>
        <v>9999</v>
      </c>
      <c r="AA186" s="35" t="n">
        <f aca="false">IF(K186="","",IF(L186="",K186,ROUND(AVERAGE(K186,L186),0)))</f>
        <v>114</v>
      </c>
    </row>
    <row r="187" customFormat="false" ht="15" hidden="false" customHeight="false" outlineLevel="0" collapsed="false">
      <c r="A187" s="18" t="s">
        <v>339</v>
      </c>
      <c r="B187" s="19" t="n">
        <f aca="false">R187-N187</f>
        <v>1</v>
      </c>
      <c r="C187" s="18" t="str">
        <f aca="false">IF(B187&gt;=5,"SMASH BUY",IF(B187&gt;=2,"BUY",IF(B187&gt;=-1,"NEUTRAL",IF(B187&gt;=-4,"AVOID","DO NOT BID"))))</f>
        <v>NEUTRAL</v>
      </c>
      <c r="D187" s="18" t="str">
        <f aca="false">IF(COUNTIFS('Auction Log'!$B$5:$B$304,A187,'Auction Log'!$D$5:$D$304,"&lt;&gt;",'Auction Log'!$E$5:$E$304,"&gt;0")=0,"Available",IFERROR(INDEX('Auction Log'!$D$5:$D$304,MATCH(1,('Auction Log'!$B$5:$B$304=A187)*('Auction Log'!$D$5:$D$304&lt;&gt;"")*('Auction Log'!$E$5:$E$304&gt;0),0)),"SOLD"))</f>
        <v>Available</v>
      </c>
      <c r="E187" s="19" t="str">
        <f aca="false">IF(COUNTIFS('Auction Log'!$B$5:$B$304,A187,'Auction Log'!$D$5:$D$304,"&lt;&gt;",'Auction Log'!$E$5:$E$304,"&gt;0")=0,"",IFERROR(INDEX('Auction Log'!$E$5:$E$304,MATCH(1,('Auction Log'!$B$5:$B$304=A187)*('Auction Log'!$D$5:$D$304&lt;&gt;"")*('Auction Log'!$E$5:$E$304&gt;0),0)),""))</f>
        <v/>
      </c>
      <c r="F187" s="18" t="s">
        <v>124</v>
      </c>
      <c r="G187" s="18" t="s">
        <v>21</v>
      </c>
      <c r="H187" s="18" t="n">
        <v>5</v>
      </c>
      <c r="I187" s="18" t="n">
        <v>182</v>
      </c>
      <c r="J187" s="18" t="n">
        <v>10</v>
      </c>
      <c r="K187" s="36"/>
      <c r="L187" s="36" t="n">
        <v>47</v>
      </c>
      <c r="M187" s="19" t="n">
        <v>0</v>
      </c>
      <c r="N187" s="19" t="n">
        <v>0</v>
      </c>
      <c r="O187" s="19" t="n">
        <v>0</v>
      </c>
      <c r="P187" s="19" t="n">
        <v>0</v>
      </c>
      <c r="Q187" s="19" t="n">
        <v>0</v>
      </c>
      <c r="R187" s="19" t="n">
        <v>1</v>
      </c>
      <c r="S187" s="19" t="n">
        <v>1</v>
      </c>
      <c r="T187" s="18" t="s">
        <v>291</v>
      </c>
      <c r="U187" s="32"/>
      <c r="V187" s="19" t="str">
        <f aca="false">IF(E187="","",R187-E187)</f>
        <v/>
      </c>
      <c r="W187" s="18" t="s">
        <v>98</v>
      </c>
      <c r="X187" s="4" t="n">
        <f aca="false">IF(AND(D187="Available",R187&gt;=55),ROW(),9999)</f>
        <v>9999</v>
      </c>
      <c r="Y187" s="4" t="n">
        <f aca="false">IF(AND(D187="Available",R187&gt;=40,R187&lt;55),ROW(),9999)</f>
        <v>9999</v>
      </c>
      <c r="Z187" s="4" t="n">
        <f aca="false">IF(AND(D187="Available",R187&gt;=25,R187&lt;40),ROW(),9999)</f>
        <v>9999</v>
      </c>
      <c r="AA187" s="35" t="str">
        <f aca="false">IF(K187="","",IF(L187="",K187,ROUND(AVERAGE(K187,L187),0)))</f>
        <v/>
      </c>
    </row>
    <row r="188" customFormat="false" ht="15" hidden="false" customHeight="false" outlineLevel="0" collapsed="false">
      <c r="A188" s="18" t="s">
        <v>340</v>
      </c>
      <c r="B188" s="19" t="n">
        <f aca="false">R188-N188</f>
        <v>0</v>
      </c>
      <c r="C188" s="18" t="str">
        <f aca="false">IF(B188&gt;=5,"SMASH BUY",IF(B188&gt;=2,"BUY",IF(B188&gt;=-1,"NEUTRAL",IF(B188&gt;=-4,"AVOID","DO NOT BID"))))</f>
        <v>NEUTRAL</v>
      </c>
      <c r="D188" s="18" t="str">
        <f aca="false">IF(COUNTIFS('Auction Log'!$B$5:$B$304,A188,'Auction Log'!$D$5:$D$304,"&lt;&gt;",'Auction Log'!$E$5:$E$304,"&gt;0")=0,"Available",IFERROR(INDEX('Auction Log'!$D$5:$D$304,MATCH(1,('Auction Log'!$B$5:$B$304=A188)*('Auction Log'!$D$5:$D$304&lt;&gt;"")*('Auction Log'!$E$5:$E$304&gt;0),0)),"SOLD"))</f>
        <v>Available</v>
      </c>
      <c r="E188" s="19" t="str">
        <f aca="false">IF(COUNTIFS('Auction Log'!$B$5:$B$304,A188,'Auction Log'!$D$5:$D$304,"&lt;&gt;",'Auction Log'!$E$5:$E$304,"&gt;0")=0,"",IFERROR(INDEX('Auction Log'!$E$5:$E$304,MATCH(1,('Auction Log'!$B$5:$B$304=A188)*('Auction Log'!$D$5:$D$304&lt;&gt;"")*('Auction Log'!$E$5:$E$304&gt;0),0)),""))</f>
        <v/>
      </c>
      <c r="F188" s="18" t="s">
        <v>196</v>
      </c>
      <c r="G188" s="18" t="s">
        <v>26</v>
      </c>
      <c r="H188" s="18" t="n">
        <v>7</v>
      </c>
      <c r="I188" s="18" t="n">
        <v>183</v>
      </c>
      <c r="J188" s="18" t="n">
        <v>10</v>
      </c>
      <c r="K188" s="36" t="n">
        <v>112</v>
      </c>
      <c r="L188" s="36" t="n">
        <v>112</v>
      </c>
      <c r="M188" s="19" t="n">
        <v>1</v>
      </c>
      <c r="N188" s="19" t="n">
        <v>1</v>
      </c>
      <c r="O188" s="19" t="n">
        <v>0</v>
      </c>
      <c r="P188" s="19" t="n">
        <v>-1</v>
      </c>
      <c r="Q188" s="19" t="n">
        <v>0</v>
      </c>
      <c r="R188" s="19" t="n">
        <v>1</v>
      </c>
      <c r="S188" s="19" t="n">
        <v>1</v>
      </c>
      <c r="T188" s="18" t="s">
        <v>291</v>
      </c>
      <c r="U188" s="32"/>
      <c r="V188" s="19" t="str">
        <f aca="false">IF(E188="","",R188-E188)</f>
        <v/>
      </c>
      <c r="W188" s="18" t="s">
        <v>98</v>
      </c>
      <c r="X188" s="4" t="n">
        <f aca="false">IF(AND(D188="Available",R188&gt;=55),ROW(),9999)</f>
        <v>9999</v>
      </c>
      <c r="Y188" s="4" t="n">
        <f aca="false">IF(AND(D188="Available",R188&gt;=40,R188&lt;55),ROW(),9999)</f>
        <v>9999</v>
      </c>
      <c r="Z188" s="4" t="n">
        <f aca="false">IF(AND(D188="Available",R188&gt;=25,R188&lt;40),ROW(),9999)</f>
        <v>9999</v>
      </c>
      <c r="AA188" s="35" t="n">
        <f aca="false">IF(K188="","",IF(L188="",K188,ROUND(AVERAGE(K188,L188),0)))</f>
        <v>112</v>
      </c>
    </row>
    <row r="189" customFormat="false" ht="15" hidden="false" customHeight="false" outlineLevel="0" collapsed="false">
      <c r="A189" s="18" t="s">
        <v>341</v>
      </c>
      <c r="B189" s="19" t="n">
        <f aca="false">R189-N189</f>
        <v>0</v>
      </c>
      <c r="C189" s="18" t="str">
        <f aca="false">IF(B189&gt;=5,"SMASH BUY",IF(B189&gt;=2,"BUY",IF(B189&gt;=-1,"NEUTRAL",IF(B189&gt;=-4,"AVOID","DO NOT BID"))))</f>
        <v>NEUTRAL</v>
      </c>
      <c r="D189" s="18" t="str">
        <f aca="false">IF(COUNTIFS('Auction Log'!$B$5:$B$304,A189,'Auction Log'!$D$5:$D$304,"&lt;&gt;",'Auction Log'!$E$5:$E$304,"&gt;0")=0,"Available",IFERROR(INDEX('Auction Log'!$D$5:$D$304,MATCH(1,('Auction Log'!$B$5:$B$304=A189)*('Auction Log'!$D$5:$D$304&lt;&gt;"")*('Auction Log'!$E$5:$E$304&gt;0),0)),"SOLD"))</f>
        <v>Available</v>
      </c>
      <c r="E189" s="19" t="str">
        <f aca="false">IF(COUNTIFS('Auction Log'!$B$5:$B$304,A189,'Auction Log'!$D$5:$D$304,"&lt;&gt;",'Auction Log'!$E$5:$E$304,"&gt;0")=0,"",IFERROR(INDEX('Auction Log'!$E$5:$E$304,MATCH(1,('Auction Log'!$B$5:$B$304=A189)*('Auction Log'!$D$5:$D$304&lt;&gt;"")*('Auction Log'!$E$5:$E$304&gt;0),0)),""))</f>
        <v/>
      </c>
      <c r="F189" s="18" t="s">
        <v>115</v>
      </c>
      <c r="G189" s="18" t="s">
        <v>37</v>
      </c>
      <c r="H189" s="18" t="n">
        <v>14</v>
      </c>
      <c r="I189" s="18" t="n">
        <v>184</v>
      </c>
      <c r="J189" s="18" t="n">
        <v>10</v>
      </c>
      <c r="K189" s="36" t="n">
        <v>153</v>
      </c>
      <c r="L189" s="36"/>
      <c r="M189" s="19" t="n">
        <v>0</v>
      </c>
      <c r="N189" s="19" t="n">
        <v>1</v>
      </c>
      <c r="O189" s="19" t="n">
        <v>0</v>
      </c>
      <c r="P189" s="19" t="n">
        <v>0</v>
      </c>
      <c r="Q189" s="19" t="n">
        <v>0</v>
      </c>
      <c r="R189" s="19" t="n">
        <v>1</v>
      </c>
      <c r="S189" s="19" t="n">
        <v>1</v>
      </c>
      <c r="T189" s="18" t="s">
        <v>291</v>
      </c>
      <c r="U189" s="32"/>
      <c r="V189" s="19" t="str">
        <f aca="false">IF(E189="","",R189-E189)</f>
        <v/>
      </c>
      <c r="W189" s="18" t="s">
        <v>98</v>
      </c>
      <c r="X189" s="4" t="n">
        <f aca="false">IF(AND(D189="Available",R189&gt;=55),ROW(),9999)</f>
        <v>9999</v>
      </c>
      <c r="Y189" s="4" t="n">
        <f aca="false">IF(AND(D189="Available",R189&gt;=40,R189&lt;55),ROW(),9999)</f>
        <v>9999</v>
      </c>
      <c r="Z189" s="4" t="n">
        <f aca="false">IF(AND(D189="Available",R189&gt;=25,R189&lt;40),ROW(),9999)</f>
        <v>9999</v>
      </c>
      <c r="AA189" s="35" t="n">
        <f aca="false">IF(K189="","",IF(L189="",K189,ROUND(AVERAGE(K189,L189),0)))</f>
        <v>153</v>
      </c>
    </row>
    <row r="190" customFormat="false" ht="15" hidden="false" customHeight="false" outlineLevel="0" collapsed="false">
      <c r="A190" s="18" t="s">
        <v>342</v>
      </c>
      <c r="B190" s="19" t="n">
        <f aca="false">R190-N190</f>
        <v>0</v>
      </c>
      <c r="C190" s="18" t="str">
        <f aca="false">IF(B190&gt;=5,"SMASH BUY",IF(B190&gt;=2,"BUY",IF(B190&gt;=-1,"NEUTRAL",IF(B190&gt;=-4,"AVOID","DO NOT BID"))))</f>
        <v>NEUTRAL</v>
      </c>
      <c r="D190" s="18" t="str">
        <f aca="false">IF(COUNTIFS('Auction Log'!$B$5:$B$304,A190,'Auction Log'!$D$5:$D$304,"&lt;&gt;",'Auction Log'!$E$5:$E$304,"&gt;0")=0,"Available",IFERROR(INDEX('Auction Log'!$D$5:$D$304,MATCH(1,('Auction Log'!$B$5:$B$304=A190)*('Auction Log'!$D$5:$D$304&lt;&gt;"")*('Auction Log'!$E$5:$E$304&gt;0),0)),"SOLD"))</f>
        <v>Available</v>
      </c>
      <c r="E190" s="19" t="str">
        <f aca="false">IF(COUNTIFS('Auction Log'!$B$5:$B$304,A190,'Auction Log'!$D$5:$D$304,"&lt;&gt;",'Auction Log'!$E$5:$E$304,"&gt;0")=0,"",IFERROR(INDEX('Auction Log'!$E$5:$E$304,MATCH(1,('Auction Log'!$B$5:$B$304=A190)*('Auction Log'!$D$5:$D$304&lt;&gt;"")*('Auction Log'!$E$5:$E$304&gt;0),0)),""))</f>
        <v/>
      </c>
      <c r="F190" s="18" t="s">
        <v>204</v>
      </c>
      <c r="G190" s="18" t="s">
        <v>34</v>
      </c>
      <c r="H190" s="18" t="n">
        <v>9</v>
      </c>
      <c r="I190" s="18" t="n">
        <v>185</v>
      </c>
      <c r="J190" s="18" t="n">
        <v>10</v>
      </c>
      <c r="K190" s="36" t="n">
        <v>112</v>
      </c>
      <c r="L190" s="36"/>
      <c r="M190" s="19" t="n">
        <v>0</v>
      </c>
      <c r="N190" s="19" t="n">
        <v>1</v>
      </c>
      <c r="O190" s="19" t="n">
        <v>0</v>
      </c>
      <c r="P190" s="19" t="n">
        <v>0</v>
      </c>
      <c r="Q190" s="19" t="n">
        <v>0</v>
      </c>
      <c r="R190" s="19" t="n">
        <v>1</v>
      </c>
      <c r="S190" s="19" t="n">
        <v>1</v>
      </c>
      <c r="T190" s="18" t="s">
        <v>291</v>
      </c>
      <c r="U190" s="32"/>
      <c r="V190" s="19" t="str">
        <f aca="false">IF(E190="","",R190-E190)</f>
        <v/>
      </c>
      <c r="W190" s="18" t="s">
        <v>98</v>
      </c>
      <c r="X190" s="4" t="n">
        <f aca="false">IF(AND(D190="Available",R190&gt;=55),ROW(),9999)</f>
        <v>9999</v>
      </c>
      <c r="Y190" s="4" t="n">
        <f aca="false">IF(AND(D190="Available",R190&gt;=40,R190&lt;55),ROW(),9999)</f>
        <v>9999</v>
      </c>
      <c r="Z190" s="4" t="n">
        <f aca="false">IF(AND(D190="Available",R190&gt;=25,R190&lt;40),ROW(),9999)</f>
        <v>9999</v>
      </c>
      <c r="AA190" s="35" t="n">
        <f aca="false">IF(K190="","",IF(L190="",K190,ROUND(AVERAGE(K190,L190),0)))</f>
        <v>112</v>
      </c>
    </row>
    <row r="191" customFormat="false" ht="15" hidden="false" customHeight="false" outlineLevel="0" collapsed="false">
      <c r="A191" s="18" t="s">
        <v>343</v>
      </c>
      <c r="B191" s="19" t="n">
        <f aca="false">R191-N191</f>
        <v>-4</v>
      </c>
      <c r="C191" s="18" t="str">
        <f aca="false">IF(B191&gt;=5,"SMASH BUY",IF(B191&gt;=2,"BUY",IF(B191&gt;=-1,"NEUTRAL",IF(B191&gt;=-4,"AVOID","DO NOT BID"))))</f>
        <v>AVOID</v>
      </c>
      <c r="D191" s="18" t="str">
        <f aca="false">IF(COUNTIFS('Auction Log'!$B$5:$B$304,A191,'Auction Log'!$D$5:$D$304,"&lt;&gt;",'Auction Log'!$E$5:$E$304,"&gt;0")=0,"Available",IFERROR(INDEX('Auction Log'!$D$5:$D$304,MATCH(1,('Auction Log'!$B$5:$B$304=A191)*('Auction Log'!$D$5:$D$304&lt;&gt;"")*('Auction Log'!$E$5:$E$304&gt;0),0)),"SOLD"))</f>
        <v>Available</v>
      </c>
      <c r="E191" s="19" t="str">
        <f aca="false">IF(COUNTIFS('Auction Log'!$B$5:$B$304,A191,'Auction Log'!$D$5:$D$304,"&lt;&gt;",'Auction Log'!$E$5:$E$304,"&gt;0")=0,"",IFERROR(INDEX('Auction Log'!$E$5:$E$304,MATCH(1,('Auction Log'!$B$5:$B$304=A191)*('Auction Log'!$D$5:$D$304&lt;&gt;"")*('Auction Log'!$E$5:$E$304&gt;0),0)),""))</f>
        <v/>
      </c>
      <c r="F191" s="18" t="s">
        <v>113</v>
      </c>
      <c r="G191" s="18" t="s">
        <v>26</v>
      </c>
      <c r="H191" s="18" t="n">
        <v>13</v>
      </c>
      <c r="I191" s="18" t="n">
        <v>187</v>
      </c>
      <c r="J191" s="18" t="n">
        <v>10</v>
      </c>
      <c r="K191" s="36" t="n">
        <v>142</v>
      </c>
      <c r="L191" s="36" t="n">
        <v>124</v>
      </c>
      <c r="M191" s="19" t="n">
        <v>0</v>
      </c>
      <c r="N191" s="19" t="n">
        <v>5</v>
      </c>
      <c r="O191" s="19" t="n">
        <v>-3</v>
      </c>
      <c r="P191" s="19" t="n">
        <v>-1</v>
      </c>
      <c r="Q191" s="19" t="n">
        <v>0</v>
      </c>
      <c r="R191" s="19" t="n">
        <v>1</v>
      </c>
      <c r="S191" s="19" t="n">
        <v>1</v>
      </c>
      <c r="T191" s="18" t="s">
        <v>291</v>
      </c>
      <c r="U191" s="32"/>
      <c r="V191" s="19" t="str">
        <f aca="false">IF(E191="","",R191-E191)</f>
        <v/>
      </c>
      <c r="W191" s="18" t="s">
        <v>98</v>
      </c>
      <c r="X191" s="4" t="n">
        <f aca="false">IF(AND(D191="Available",R191&gt;=55),ROW(),9999)</f>
        <v>9999</v>
      </c>
      <c r="Y191" s="4" t="n">
        <f aca="false">IF(AND(D191="Available",R191&gt;=40,R191&lt;55),ROW(),9999)</f>
        <v>9999</v>
      </c>
      <c r="Z191" s="4" t="n">
        <f aca="false">IF(AND(D191="Available",R191&gt;=25,R191&lt;40),ROW(),9999)</f>
        <v>9999</v>
      </c>
      <c r="AA191" s="35" t="n">
        <f aca="false">IF(K191="","",IF(L191="",K191,ROUND(AVERAGE(K191,L191),0)))</f>
        <v>133</v>
      </c>
    </row>
    <row r="192" customFormat="false" ht="15" hidden="false" customHeight="false" outlineLevel="0" collapsed="false">
      <c r="A192" s="18" t="s">
        <v>344</v>
      </c>
      <c r="B192" s="19" t="n">
        <f aca="false">R192-N192</f>
        <v>0</v>
      </c>
      <c r="C192" s="18" t="str">
        <f aca="false">IF(B192&gt;=5,"SMASH BUY",IF(B192&gt;=2,"BUY",IF(B192&gt;=-1,"NEUTRAL",IF(B192&gt;=-4,"AVOID","DO NOT BID"))))</f>
        <v>NEUTRAL</v>
      </c>
      <c r="D192" s="18" t="str">
        <f aca="false">IF(COUNTIFS('Auction Log'!$B$5:$B$304,A192,'Auction Log'!$D$5:$D$304,"&lt;&gt;",'Auction Log'!$E$5:$E$304,"&gt;0")=0,"Available",IFERROR(INDEX('Auction Log'!$D$5:$D$304,MATCH(1,('Auction Log'!$B$5:$B$304=A192)*('Auction Log'!$D$5:$D$304&lt;&gt;"")*('Auction Log'!$E$5:$E$304&gt;0),0)),"SOLD"))</f>
        <v>Available</v>
      </c>
      <c r="E192" s="19" t="str">
        <f aca="false">IF(COUNTIFS('Auction Log'!$B$5:$B$304,A192,'Auction Log'!$D$5:$D$304,"&lt;&gt;",'Auction Log'!$E$5:$E$304,"&gt;0")=0,"",IFERROR(INDEX('Auction Log'!$E$5:$E$304,MATCH(1,('Auction Log'!$B$5:$B$304=A192)*('Auction Log'!$D$5:$D$304&lt;&gt;"")*('Auction Log'!$E$5:$E$304&gt;0),0)),""))</f>
        <v/>
      </c>
      <c r="F192" s="18" t="s">
        <v>118</v>
      </c>
      <c r="G192" s="18" t="s">
        <v>34</v>
      </c>
      <c r="H192" s="18" t="n">
        <v>6</v>
      </c>
      <c r="I192" s="18" t="n">
        <v>188</v>
      </c>
      <c r="J192" s="18" t="n">
        <v>10</v>
      </c>
      <c r="K192" s="36" t="n">
        <v>113</v>
      </c>
      <c r="L192" s="36"/>
      <c r="M192" s="19" t="n">
        <v>0</v>
      </c>
      <c r="N192" s="19" t="n">
        <v>1</v>
      </c>
      <c r="O192" s="19" t="n">
        <v>0</v>
      </c>
      <c r="P192" s="19" t="n">
        <v>0</v>
      </c>
      <c r="Q192" s="19" t="n">
        <v>0</v>
      </c>
      <c r="R192" s="19" t="n">
        <v>1</v>
      </c>
      <c r="S192" s="19" t="n">
        <v>1</v>
      </c>
      <c r="T192" s="18" t="s">
        <v>291</v>
      </c>
      <c r="U192" s="32"/>
      <c r="V192" s="19" t="str">
        <f aca="false">IF(E192="","",R192-E192)</f>
        <v/>
      </c>
      <c r="W192" s="18" t="s">
        <v>98</v>
      </c>
      <c r="X192" s="4" t="n">
        <f aca="false">IF(AND(D192="Available",R192&gt;=55),ROW(),9999)</f>
        <v>9999</v>
      </c>
      <c r="Y192" s="4" t="n">
        <f aca="false">IF(AND(D192="Available",R192&gt;=40,R192&lt;55),ROW(),9999)</f>
        <v>9999</v>
      </c>
      <c r="Z192" s="4" t="n">
        <f aca="false">IF(AND(D192="Available",R192&gt;=25,R192&lt;40),ROW(),9999)</f>
        <v>9999</v>
      </c>
      <c r="AA192" s="35" t="n">
        <f aca="false">IF(K192="","",IF(L192="",K192,ROUND(AVERAGE(K192,L192),0)))</f>
        <v>113</v>
      </c>
    </row>
    <row r="193" customFormat="false" ht="15" hidden="false" customHeight="false" outlineLevel="0" collapsed="false">
      <c r="A193" s="18" t="s">
        <v>345</v>
      </c>
      <c r="B193" s="19" t="n">
        <f aca="false">R193-N193</f>
        <v>1</v>
      </c>
      <c r="C193" s="18" t="str">
        <f aca="false">IF(B193&gt;=5,"SMASH BUY",IF(B193&gt;=2,"BUY",IF(B193&gt;=-1,"NEUTRAL",IF(B193&gt;=-4,"AVOID","DO NOT BID"))))</f>
        <v>NEUTRAL</v>
      </c>
      <c r="D193" s="18" t="str">
        <f aca="false">IF(COUNTIFS('Auction Log'!$B$5:$B$304,A193,'Auction Log'!$D$5:$D$304,"&lt;&gt;",'Auction Log'!$E$5:$E$304,"&gt;0")=0,"Available",IFERROR(INDEX('Auction Log'!$D$5:$D$304,MATCH(1,('Auction Log'!$B$5:$B$304=A193)*('Auction Log'!$D$5:$D$304&lt;&gt;"")*('Auction Log'!$E$5:$E$304&gt;0),0)),"SOLD"))</f>
        <v>Available</v>
      </c>
      <c r="E193" s="19" t="str">
        <f aca="false">IF(COUNTIFS('Auction Log'!$B$5:$B$304,A193,'Auction Log'!$D$5:$D$304,"&lt;&gt;",'Auction Log'!$E$5:$E$304,"&gt;0")=0,"",IFERROR(INDEX('Auction Log'!$E$5:$E$304,MATCH(1,('Auction Log'!$B$5:$B$304=A193)*('Auction Log'!$D$5:$D$304&lt;&gt;"")*('Auction Log'!$E$5:$E$304&gt;0),0)),""))</f>
        <v/>
      </c>
      <c r="F193" s="18" t="s">
        <v>122</v>
      </c>
      <c r="G193" s="18" t="s">
        <v>21</v>
      </c>
      <c r="H193" s="18" t="n">
        <v>7</v>
      </c>
      <c r="I193" s="18" t="n">
        <v>189</v>
      </c>
      <c r="J193" s="18" t="n">
        <v>10</v>
      </c>
      <c r="K193" s="36"/>
      <c r="L193" s="36" t="n">
        <v>38</v>
      </c>
      <c r="M193" s="19" t="n">
        <v>1</v>
      </c>
      <c r="N193" s="19" t="n">
        <v>0</v>
      </c>
      <c r="O193" s="19" t="n">
        <v>0</v>
      </c>
      <c r="P193" s="19" t="n">
        <v>0</v>
      </c>
      <c r="Q193" s="19" t="n">
        <v>0</v>
      </c>
      <c r="R193" s="19" t="n">
        <v>1</v>
      </c>
      <c r="S193" s="19" t="n">
        <v>1</v>
      </c>
      <c r="T193" s="18" t="s">
        <v>291</v>
      </c>
      <c r="U193" s="32"/>
      <c r="V193" s="19" t="str">
        <f aca="false">IF(E193="","",R193-E193)</f>
        <v/>
      </c>
      <c r="W193" s="18" t="s">
        <v>98</v>
      </c>
      <c r="X193" s="4" t="n">
        <f aca="false">IF(AND(D193="Available",R193&gt;=55),ROW(),9999)</f>
        <v>9999</v>
      </c>
      <c r="Y193" s="4" t="n">
        <f aca="false">IF(AND(D193="Available",R193&gt;=40,R193&lt;55),ROW(),9999)</f>
        <v>9999</v>
      </c>
      <c r="Z193" s="4" t="n">
        <f aca="false">IF(AND(D193="Available",R193&gt;=25,R193&lt;40),ROW(),9999)</f>
        <v>9999</v>
      </c>
      <c r="AA193" s="35" t="str">
        <f aca="false">IF(K193="","",IF(L193="",K193,ROUND(AVERAGE(K193,L193),0)))</f>
        <v/>
      </c>
    </row>
    <row r="194" customFormat="false" ht="15" hidden="false" customHeight="false" outlineLevel="0" collapsed="false">
      <c r="A194" s="18" t="s">
        <v>346</v>
      </c>
      <c r="B194" s="19" t="n">
        <f aca="false">R194-N194</f>
        <v>1</v>
      </c>
      <c r="C194" s="18" t="str">
        <f aca="false">IF(B194&gt;=5,"SMASH BUY",IF(B194&gt;=2,"BUY",IF(B194&gt;=-1,"NEUTRAL",IF(B194&gt;=-4,"AVOID","DO NOT BID"))))</f>
        <v>NEUTRAL</v>
      </c>
      <c r="D194" s="18" t="str">
        <f aca="false">IF(COUNTIFS('Auction Log'!$B$5:$B$304,A194,'Auction Log'!$D$5:$D$304,"&lt;&gt;",'Auction Log'!$E$5:$E$304,"&gt;0")=0,"Available",IFERROR(INDEX('Auction Log'!$D$5:$D$304,MATCH(1,('Auction Log'!$B$5:$B$304=A194)*('Auction Log'!$D$5:$D$304&lt;&gt;"")*('Auction Log'!$E$5:$E$304&gt;0),0)),"SOLD"))</f>
        <v>Available</v>
      </c>
      <c r="E194" s="19" t="str">
        <f aca="false">IF(COUNTIFS('Auction Log'!$B$5:$B$304,A194,'Auction Log'!$D$5:$D$304,"&lt;&gt;",'Auction Log'!$E$5:$E$304,"&gt;0")=0,"",IFERROR(INDEX('Auction Log'!$E$5:$E$304,MATCH(1,('Auction Log'!$B$5:$B$304=A194)*('Auction Log'!$D$5:$D$304&lt;&gt;"")*('Auction Log'!$E$5:$E$304&gt;0),0)),""))</f>
        <v/>
      </c>
      <c r="F194" s="18" t="s">
        <v>173</v>
      </c>
      <c r="G194" s="18" t="s">
        <v>21</v>
      </c>
      <c r="H194" s="18" t="n">
        <v>10</v>
      </c>
      <c r="I194" s="18" t="n">
        <v>190</v>
      </c>
      <c r="J194" s="18" t="n">
        <v>10</v>
      </c>
      <c r="K194" s="36"/>
      <c r="L194" s="36" t="n">
        <v>37</v>
      </c>
      <c r="M194" s="19" t="n">
        <v>0</v>
      </c>
      <c r="N194" s="19" t="n">
        <v>0</v>
      </c>
      <c r="O194" s="19" t="n">
        <v>0</v>
      </c>
      <c r="P194" s="19" t="n">
        <v>0</v>
      </c>
      <c r="Q194" s="19" t="n">
        <v>0</v>
      </c>
      <c r="R194" s="19" t="n">
        <v>1</v>
      </c>
      <c r="S194" s="19" t="n">
        <v>1</v>
      </c>
      <c r="T194" s="18" t="s">
        <v>291</v>
      </c>
      <c r="U194" s="32"/>
      <c r="V194" s="19" t="str">
        <f aca="false">IF(E194="","",R194-E194)</f>
        <v/>
      </c>
      <c r="W194" s="18" t="s">
        <v>98</v>
      </c>
      <c r="X194" s="4" t="n">
        <f aca="false">IF(AND(D194="Available",R194&gt;=55),ROW(),9999)</f>
        <v>9999</v>
      </c>
      <c r="Y194" s="4" t="n">
        <f aca="false">IF(AND(D194="Available",R194&gt;=40,R194&lt;55),ROW(),9999)</f>
        <v>9999</v>
      </c>
      <c r="Z194" s="4" t="n">
        <f aca="false">IF(AND(D194="Available",R194&gt;=25,R194&lt;40),ROW(),9999)</f>
        <v>9999</v>
      </c>
      <c r="AA194" s="35" t="str">
        <f aca="false">IF(K194="","",IF(L194="",K194,ROUND(AVERAGE(K194,L194),0)))</f>
        <v/>
      </c>
    </row>
    <row r="195" customFormat="false" ht="15" hidden="false" customHeight="false" outlineLevel="0" collapsed="false">
      <c r="A195" s="18" t="s">
        <v>347</v>
      </c>
      <c r="B195" s="19" t="n">
        <f aca="false">R195-N195</f>
        <v>0</v>
      </c>
      <c r="C195" s="18" t="str">
        <f aca="false">IF(B195&gt;=5,"SMASH BUY",IF(B195&gt;=2,"BUY",IF(B195&gt;=-1,"NEUTRAL",IF(B195&gt;=-4,"AVOID","DO NOT BID"))))</f>
        <v>NEUTRAL</v>
      </c>
      <c r="D195" s="18" t="str">
        <f aca="false">IF(COUNTIFS('Auction Log'!$B$5:$B$304,A195,'Auction Log'!$D$5:$D$304,"&lt;&gt;",'Auction Log'!$E$5:$E$304,"&gt;0")=0,"Available",IFERROR(INDEX('Auction Log'!$D$5:$D$304,MATCH(1,('Auction Log'!$B$5:$B$304=A195)*('Auction Log'!$D$5:$D$304&lt;&gt;"")*('Auction Log'!$E$5:$E$304&gt;0),0)),"SOLD"))</f>
        <v>Available</v>
      </c>
      <c r="E195" s="19" t="str">
        <f aca="false">IF(COUNTIFS('Auction Log'!$B$5:$B$304,A195,'Auction Log'!$D$5:$D$304,"&lt;&gt;",'Auction Log'!$E$5:$E$304,"&gt;0")=0,"",IFERROR(INDEX('Auction Log'!$E$5:$E$304,MATCH(1,('Auction Log'!$B$5:$B$304=A195)*('Auction Log'!$D$5:$D$304&lt;&gt;"")*('Auction Log'!$E$5:$E$304&gt;0),0)),""))</f>
        <v/>
      </c>
      <c r="F195" s="18" t="s">
        <v>134</v>
      </c>
      <c r="G195" s="18" t="s">
        <v>26</v>
      </c>
      <c r="H195" s="18" t="n">
        <v>8</v>
      </c>
      <c r="I195" s="18" t="n">
        <v>191</v>
      </c>
      <c r="J195" s="18" t="n">
        <v>10</v>
      </c>
      <c r="K195" s="36" t="n">
        <v>111</v>
      </c>
      <c r="L195" s="36" t="n">
        <v>113</v>
      </c>
      <c r="M195" s="19" t="n">
        <v>0</v>
      </c>
      <c r="N195" s="19" t="n">
        <v>1</v>
      </c>
      <c r="O195" s="19" t="n">
        <v>-1</v>
      </c>
      <c r="P195" s="19" t="n">
        <v>-1</v>
      </c>
      <c r="Q195" s="19" t="n">
        <v>0</v>
      </c>
      <c r="R195" s="19" t="n">
        <v>1</v>
      </c>
      <c r="S195" s="19" t="n">
        <v>1</v>
      </c>
      <c r="T195" s="18" t="s">
        <v>291</v>
      </c>
      <c r="U195" s="32"/>
      <c r="V195" s="19" t="str">
        <f aca="false">IF(E195="","",R195-E195)</f>
        <v/>
      </c>
      <c r="W195" s="18" t="s">
        <v>98</v>
      </c>
      <c r="X195" s="4" t="n">
        <f aca="false">IF(AND(D195="Available",R195&gt;=55),ROW(),9999)</f>
        <v>9999</v>
      </c>
      <c r="Y195" s="4" t="n">
        <f aca="false">IF(AND(D195="Available",R195&gt;=40,R195&lt;55),ROW(),9999)</f>
        <v>9999</v>
      </c>
      <c r="Z195" s="4" t="n">
        <f aca="false">IF(AND(D195="Available",R195&gt;=25,R195&lt;40),ROW(),9999)</f>
        <v>9999</v>
      </c>
      <c r="AA195" s="35" t="n">
        <f aca="false">IF(K195="","",IF(L195="",K195,ROUND(AVERAGE(K195,L195),0)))</f>
        <v>112</v>
      </c>
    </row>
    <row r="196" customFormat="false" ht="15" hidden="false" customHeight="false" outlineLevel="0" collapsed="false">
      <c r="A196" s="18" t="s">
        <v>348</v>
      </c>
      <c r="B196" s="19" t="n">
        <f aca="false">R196-N196</f>
        <v>1</v>
      </c>
      <c r="C196" s="18" t="str">
        <f aca="false">IF(B196&gt;=5,"SMASH BUY",IF(B196&gt;=2,"BUY",IF(B196&gt;=-1,"NEUTRAL",IF(B196&gt;=-4,"AVOID","DO NOT BID"))))</f>
        <v>NEUTRAL</v>
      </c>
      <c r="D196" s="18" t="str">
        <f aca="false">IF(COUNTIFS('Auction Log'!$B$5:$B$304,A196,'Auction Log'!$D$5:$D$304,"&lt;&gt;",'Auction Log'!$E$5:$E$304,"&gt;0")=0,"Available",IFERROR(INDEX('Auction Log'!$D$5:$D$304,MATCH(1,('Auction Log'!$B$5:$B$304=A196)*('Auction Log'!$D$5:$D$304&lt;&gt;"")*('Auction Log'!$E$5:$E$304&gt;0),0)),"SOLD"))</f>
        <v>Available</v>
      </c>
      <c r="E196" s="19" t="str">
        <f aca="false">IF(COUNTIFS('Auction Log'!$B$5:$B$304,A196,'Auction Log'!$D$5:$D$304,"&lt;&gt;",'Auction Log'!$E$5:$E$304,"&gt;0")=0,"",IFERROR(INDEX('Auction Log'!$E$5:$E$304,MATCH(1,('Auction Log'!$B$5:$B$304=A196)*('Auction Log'!$D$5:$D$304&lt;&gt;"")*('Auction Log'!$E$5:$E$304&gt;0),0)),""))</f>
        <v/>
      </c>
      <c r="F196" s="18" t="s">
        <v>144</v>
      </c>
      <c r="G196" s="18" t="s">
        <v>30</v>
      </c>
      <c r="H196" s="18" t="n">
        <v>7</v>
      </c>
      <c r="I196" s="18" t="n">
        <v>192</v>
      </c>
      <c r="J196" s="18" t="n">
        <v>10</v>
      </c>
      <c r="K196" s="36"/>
      <c r="L196" s="36" t="n">
        <v>77</v>
      </c>
      <c r="M196" s="19" t="n">
        <v>0</v>
      </c>
      <c r="N196" s="19" t="n">
        <v>0</v>
      </c>
      <c r="O196" s="19" t="n">
        <v>0</v>
      </c>
      <c r="P196" s="19" t="n">
        <v>0</v>
      </c>
      <c r="Q196" s="19" t="n">
        <v>0</v>
      </c>
      <c r="R196" s="19" t="n">
        <v>1</v>
      </c>
      <c r="S196" s="19" t="n">
        <v>1</v>
      </c>
      <c r="T196" s="18" t="s">
        <v>291</v>
      </c>
      <c r="U196" s="32"/>
      <c r="V196" s="19" t="str">
        <f aca="false">IF(E196="","",R196-E196)</f>
        <v/>
      </c>
      <c r="W196" s="18" t="s">
        <v>98</v>
      </c>
      <c r="X196" s="4" t="n">
        <f aca="false">IF(AND(D196="Available",R196&gt;=55),ROW(),9999)</f>
        <v>9999</v>
      </c>
      <c r="Y196" s="4" t="n">
        <f aca="false">IF(AND(D196="Available",R196&gt;=40,R196&lt;55),ROW(),9999)</f>
        <v>9999</v>
      </c>
      <c r="Z196" s="4" t="n">
        <f aca="false">IF(AND(D196="Available",R196&gt;=25,R196&lt;40),ROW(),9999)</f>
        <v>9999</v>
      </c>
      <c r="AA196" s="35" t="str">
        <f aca="false">IF(K196="","",IF(L196="",K196,ROUND(AVERAGE(K196,L196),0)))</f>
        <v/>
      </c>
    </row>
    <row r="197" customFormat="false" ht="15" hidden="false" customHeight="false" outlineLevel="0" collapsed="false">
      <c r="A197" s="18" t="s">
        <v>349</v>
      </c>
      <c r="B197" s="19" t="n">
        <f aca="false">R197-N197</f>
        <v>1</v>
      </c>
      <c r="C197" s="18" t="str">
        <f aca="false">IF(B197&gt;=5,"SMASH BUY",IF(B197&gt;=2,"BUY",IF(B197&gt;=-1,"NEUTRAL",IF(B197&gt;=-4,"AVOID","DO NOT BID"))))</f>
        <v>NEUTRAL</v>
      </c>
      <c r="D197" s="18" t="str">
        <f aca="false">IF(COUNTIFS('Auction Log'!$B$5:$B$304,A197,'Auction Log'!$D$5:$D$304,"&lt;&gt;",'Auction Log'!$E$5:$E$304,"&gt;0")=0,"Available",IFERROR(INDEX('Auction Log'!$D$5:$D$304,MATCH(1,('Auction Log'!$B$5:$B$304=A197)*('Auction Log'!$D$5:$D$304&lt;&gt;"")*('Auction Log'!$E$5:$E$304&gt;0),0)),"SOLD"))</f>
        <v>Available</v>
      </c>
      <c r="E197" s="19" t="str">
        <f aca="false">IF(COUNTIFS('Auction Log'!$B$5:$B$304,A197,'Auction Log'!$D$5:$D$304,"&lt;&gt;",'Auction Log'!$E$5:$E$304,"&gt;0")=0,"",IFERROR(INDEX('Auction Log'!$E$5:$E$304,MATCH(1,('Auction Log'!$B$5:$B$304=A197)*('Auction Log'!$D$5:$D$304&lt;&gt;"")*('Auction Log'!$E$5:$E$304&gt;0),0)),""))</f>
        <v/>
      </c>
      <c r="F197" s="18" t="s">
        <v>144</v>
      </c>
      <c r="G197" s="18" t="s">
        <v>21</v>
      </c>
      <c r="H197" s="18" t="n">
        <v>7</v>
      </c>
      <c r="I197" s="18" t="n">
        <v>193</v>
      </c>
      <c r="J197" s="18" t="n">
        <v>10</v>
      </c>
      <c r="K197" s="36"/>
      <c r="L197" s="36" t="n">
        <v>36</v>
      </c>
      <c r="M197" s="19" t="n">
        <v>0</v>
      </c>
      <c r="N197" s="19" t="n">
        <v>0</v>
      </c>
      <c r="O197" s="19" t="n">
        <v>0</v>
      </c>
      <c r="P197" s="19" t="n">
        <v>0</v>
      </c>
      <c r="Q197" s="19" t="n">
        <v>0</v>
      </c>
      <c r="R197" s="19" t="n">
        <v>1</v>
      </c>
      <c r="S197" s="19" t="n">
        <v>1</v>
      </c>
      <c r="T197" s="18" t="s">
        <v>291</v>
      </c>
      <c r="U197" s="32"/>
      <c r="V197" s="19" t="str">
        <f aca="false">IF(E197="","",R197-E197)</f>
        <v/>
      </c>
      <c r="W197" s="18" t="s">
        <v>98</v>
      </c>
      <c r="X197" s="4" t="n">
        <f aca="false">IF(AND(D197="Available",R197&gt;=55),ROW(),9999)</f>
        <v>9999</v>
      </c>
      <c r="Y197" s="4" t="n">
        <f aca="false">IF(AND(D197="Available",R197&gt;=40,R197&lt;55),ROW(),9999)</f>
        <v>9999</v>
      </c>
      <c r="Z197" s="4" t="n">
        <f aca="false">IF(AND(D197="Available",R197&gt;=25,R197&lt;40),ROW(),9999)</f>
        <v>9999</v>
      </c>
      <c r="AA197" s="35" t="str">
        <f aca="false">IF(K197="","",IF(L197="",K197,ROUND(AVERAGE(K197,L197),0)))</f>
        <v/>
      </c>
    </row>
    <row r="198" customFormat="false" ht="15" hidden="false" customHeight="false" outlineLevel="0" collapsed="false">
      <c r="A198" s="18" t="s">
        <v>350</v>
      </c>
      <c r="B198" s="19" t="n">
        <f aca="false">R198-N198</f>
        <v>1</v>
      </c>
      <c r="C198" s="18" t="str">
        <f aca="false">IF(B198&gt;=5,"SMASH BUY",IF(B198&gt;=2,"BUY",IF(B198&gt;=-1,"NEUTRAL",IF(B198&gt;=-4,"AVOID","DO NOT BID"))))</f>
        <v>NEUTRAL</v>
      </c>
      <c r="D198" s="18" t="str">
        <f aca="false">IF(COUNTIFS('Auction Log'!$B$5:$B$304,A198,'Auction Log'!$D$5:$D$304,"&lt;&gt;",'Auction Log'!$E$5:$E$304,"&gt;0")=0,"Available",IFERROR(INDEX('Auction Log'!$D$5:$D$304,MATCH(1,('Auction Log'!$B$5:$B$304=A198)*('Auction Log'!$D$5:$D$304&lt;&gt;"")*('Auction Log'!$E$5:$E$304&gt;0),0)),"SOLD"))</f>
        <v>Available</v>
      </c>
      <c r="E198" s="19" t="str">
        <f aca="false">IF(COUNTIFS('Auction Log'!$B$5:$B$304,A198,'Auction Log'!$D$5:$D$304,"&lt;&gt;",'Auction Log'!$E$5:$E$304,"&gt;0")=0,"",IFERROR(INDEX('Auction Log'!$E$5:$E$304,MATCH(1,('Auction Log'!$B$5:$B$304=A198)*('Auction Log'!$D$5:$D$304&lt;&gt;"")*('Auction Log'!$E$5:$E$304&gt;0),0)),""))</f>
        <v/>
      </c>
      <c r="F198" s="18" t="s">
        <v>104</v>
      </c>
      <c r="G198" s="18" t="s">
        <v>30</v>
      </c>
      <c r="H198" s="18" t="n">
        <v>11</v>
      </c>
      <c r="I198" s="18" t="n">
        <v>194</v>
      </c>
      <c r="J198" s="18" t="n">
        <v>10</v>
      </c>
      <c r="K198" s="36"/>
      <c r="L198" s="36" t="n">
        <v>114</v>
      </c>
      <c r="M198" s="19" t="n">
        <v>0</v>
      </c>
      <c r="N198" s="19" t="n">
        <v>0</v>
      </c>
      <c r="O198" s="19" t="n">
        <v>0</v>
      </c>
      <c r="P198" s="19" t="n">
        <v>0</v>
      </c>
      <c r="Q198" s="19" t="n">
        <v>0</v>
      </c>
      <c r="R198" s="19" t="n">
        <v>1</v>
      </c>
      <c r="S198" s="19" t="n">
        <v>1</v>
      </c>
      <c r="T198" s="18" t="s">
        <v>291</v>
      </c>
      <c r="U198" s="32"/>
      <c r="V198" s="19" t="str">
        <f aca="false">IF(E198="","",R198-E198)</f>
        <v/>
      </c>
      <c r="W198" s="18" t="s">
        <v>98</v>
      </c>
      <c r="X198" s="4" t="n">
        <f aca="false">IF(AND(D198="Available",R198&gt;=55),ROW(),9999)</f>
        <v>9999</v>
      </c>
      <c r="Y198" s="4" t="n">
        <f aca="false">IF(AND(D198="Available",R198&gt;=40,R198&lt;55),ROW(),9999)</f>
        <v>9999</v>
      </c>
      <c r="Z198" s="4" t="n">
        <f aca="false">IF(AND(D198="Available",R198&gt;=25,R198&lt;40),ROW(),9999)</f>
        <v>9999</v>
      </c>
      <c r="AA198" s="35" t="str">
        <f aca="false">IF(K198="","",IF(L198="",K198,ROUND(AVERAGE(K198,L198),0)))</f>
        <v/>
      </c>
    </row>
    <row r="199" customFormat="false" ht="15" hidden="false" customHeight="false" outlineLevel="0" collapsed="false">
      <c r="A199" s="18" t="s">
        <v>351</v>
      </c>
      <c r="B199" s="19" t="n">
        <f aca="false">R199-N199</f>
        <v>-5</v>
      </c>
      <c r="C199" s="18" t="str">
        <f aca="false">IF(B199&gt;=5,"SMASH BUY",IF(B199&gt;=2,"BUY",IF(B199&gt;=-1,"NEUTRAL",IF(B199&gt;=-4,"AVOID","DO NOT BID"))))</f>
        <v>DO NOT BID</v>
      </c>
      <c r="D199" s="18" t="str">
        <f aca="false">IF(COUNTIFS('Auction Log'!$B$5:$B$304,A199,'Auction Log'!$D$5:$D$304,"&lt;&gt;",'Auction Log'!$E$5:$E$304,"&gt;0")=0,"Available",IFERROR(INDEX('Auction Log'!$D$5:$D$304,MATCH(1,('Auction Log'!$B$5:$B$304=A199)*('Auction Log'!$D$5:$D$304&lt;&gt;"")*('Auction Log'!$E$5:$E$304&gt;0),0)),"SOLD"))</f>
        <v>Available</v>
      </c>
      <c r="E199" s="19" t="str">
        <f aca="false">IF(COUNTIFS('Auction Log'!$B$5:$B$304,A199,'Auction Log'!$D$5:$D$304,"&lt;&gt;",'Auction Log'!$E$5:$E$304,"&gt;0")=0,"",IFERROR(INDEX('Auction Log'!$E$5:$E$304,MATCH(1,('Auction Log'!$B$5:$B$304=A199)*('Auction Log'!$D$5:$D$304&lt;&gt;"")*('Auction Log'!$E$5:$E$304&gt;0),0)),""))</f>
        <v/>
      </c>
      <c r="F199" s="18" t="s">
        <v>202</v>
      </c>
      <c r="G199" s="18" t="s">
        <v>26</v>
      </c>
      <c r="H199" s="18" t="n">
        <v>9</v>
      </c>
      <c r="I199" s="18" t="n">
        <v>195</v>
      </c>
      <c r="J199" s="18" t="n">
        <v>10</v>
      </c>
      <c r="K199" s="36" t="n">
        <v>148</v>
      </c>
      <c r="L199" s="36" t="n">
        <v>135</v>
      </c>
      <c r="M199" s="19" t="n">
        <v>1</v>
      </c>
      <c r="N199" s="19" t="n">
        <v>6</v>
      </c>
      <c r="O199" s="19" t="n">
        <v>-4</v>
      </c>
      <c r="P199" s="19" t="n">
        <v>-1</v>
      </c>
      <c r="Q199" s="19" t="n">
        <v>0</v>
      </c>
      <c r="R199" s="19" t="n">
        <v>1</v>
      </c>
      <c r="S199" s="19" t="n">
        <v>1</v>
      </c>
      <c r="T199" s="18" t="s">
        <v>291</v>
      </c>
      <c r="U199" s="32"/>
      <c r="V199" s="19" t="str">
        <f aca="false">IF(E199="","",R199-E199)</f>
        <v/>
      </c>
      <c r="W199" s="18" t="s">
        <v>98</v>
      </c>
      <c r="X199" s="4" t="n">
        <f aca="false">IF(AND(D199="Available",R199&gt;=55),ROW(),9999)</f>
        <v>9999</v>
      </c>
      <c r="Y199" s="4" t="n">
        <f aca="false">IF(AND(D199="Available",R199&gt;=40,R199&lt;55),ROW(),9999)</f>
        <v>9999</v>
      </c>
      <c r="Z199" s="4" t="n">
        <f aca="false">IF(AND(D199="Available",R199&gt;=25,R199&lt;40),ROW(),9999)</f>
        <v>9999</v>
      </c>
      <c r="AA199" s="35" t="n">
        <f aca="false">IF(K199="","",IF(L199="",K199,ROUND(AVERAGE(K199,L199),0)))</f>
        <v>142</v>
      </c>
    </row>
    <row r="200" customFormat="false" ht="15" hidden="false" customHeight="false" outlineLevel="0" collapsed="false">
      <c r="A200" s="18" t="s">
        <v>352</v>
      </c>
      <c r="B200" s="19" t="n">
        <f aca="false">R200-N200</f>
        <v>0</v>
      </c>
      <c r="C200" s="18" t="str">
        <f aca="false">IF(B200&gt;=5,"SMASH BUY",IF(B200&gt;=2,"BUY",IF(B200&gt;=-1,"NEUTRAL",IF(B200&gt;=-4,"AVOID","DO NOT BID"))))</f>
        <v>NEUTRAL</v>
      </c>
      <c r="D200" s="18" t="str">
        <f aca="false">IF(COUNTIFS('Auction Log'!$B$5:$B$304,A200,'Auction Log'!$D$5:$D$304,"&lt;&gt;",'Auction Log'!$E$5:$E$304,"&gt;0")=0,"Available",IFERROR(INDEX('Auction Log'!$D$5:$D$304,MATCH(1,('Auction Log'!$B$5:$B$304=A200)*('Auction Log'!$D$5:$D$304&lt;&gt;"")*('Auction Log'!$E$5:$E$304&gt;0),0)),"SOLD"))</f>
        <v>Available</v>
      </c>
      <c r="E200" s="19" t="str">
        <f aca="false">IF(COUNTIFS('Auction Log'!$B$5:$B$304,A200,'Auction Log'!$D$5:$D$304,"&lt;&gt;",'Auction Log'!$E$5:$E$304,"&gt;0")=0,"",IFERROR(INDEX('Auction Log'!$E$5:$E$304,MATCH(1,('Auction Log'!$B$5:$B$304=A200)*('Auction Log'!$D$5:$D$304&lt;&gt;"")*('Auction Log'!$E$5:$E$304&gt;0),0)),""))</f>
        <v/>
      </c>
      <c r="F200" s="18" t="s">
        <v>144</v>
      </c>
      <c r="G200" s="18" t="s">
        <v>37</v>
      </c>
      <c r="H200" s="18" t="n">
        <v>7</v>
      </c>
      <c r="I200" s="18" t="n">
        <v>197</v>
      </c>
      <c r="J200" s="18" t="n">
        <v>10</v>
      </c>
      <c r="K200" s="36" t="n">
        <v>144</v>
      </c>
      <c r="L200" s="36"/>
      <c r="M200" s="19" t="n">
        <v>0</v>
      </c>
      <c r="N200" s="19" t="n">
        <v>1</v>
      </c>
      <c r="O200" s="19" t="n">
        <v>-1</v>
      </c>
      <c r="P200" s="19" t="n">
        <v>0</v>
      </c>
      <c r="Q200" s="19" t="n">
        <v>0</v>
      </c>
      <c r="R200" s="19" t="n">
        <v>1</v>
      </c>
      <c r="S200" s="19" t="n">
        <v>1</v>
      </c>
      <c r="T200" s="18" t="s">
        <v>291</v>
      </c>
      <c r="U200" s="32"/>
      <c r="V200" s="19" t="str">
        <f aca="false">IF(E200="","",R200-E200)</f>
        <v/>
      </c>
      <c r="W200" s="18" t="s">
        <v>98</v>
      </c>
      <c r="X200" s="4" t="n">
        <f aca="false">IF(AND(D200="Available",R200&gt;=55),ROW(),9999)</f>
        <v>9999</v>
      </c>
      <c r="Y200" s="4" t="n">
        <f aca="false">IF(AND(D200="Available",R200&gt;=40,R200&lt;55),ROW(),9999)</f>
        <v>9999</v>
      </c>
      <c r="Z200" s="4" t="n">
        <f aca="false">IF(AND(D200="Available",R200&gt;=25,R200&lt;40),ROW(),9999)</f>
        <v>9999</v>
      </c>
      <c r="AA200" s="35" t="n">
        <f aca="false">IF(K200="","",IF(L200="",K200,ROUND(AVERAGE(K200,L200),0)))</f>
        <v>144</v>
      </c>
    </row>
    <row r="201" customFormat="false" ht="15" hidden="false" customHeight="false" outlineLevel="0" collapsed="false">
      <c r="A201" s="18" t="s">
        <v>353</v>
      </c>
      <c r="B201" s="19" t="n">
        <f aca="false">R201-N201</f>
        <v>0</v>
      </c>
      <c r="C201" s="18" t="str">
        <f aca="false">IF(B201&gt;=5,"SMASH BUY",IF(B201&gt;=2,"BUY",IF(B201&gt;=-1,"NEUTRAL",IF(B201&gt;=-4,"AVOID","DO NOT BID"))))</f>
        <v>NEUTRAL</v>
      </c>
      <c r="D201" s="18" t="str">
        <f aca="false">IF(COUNTIFS('Auction Log'!$B$5:$B$304,A201,'Auction Log'!$D$5:$D$304,"&lt;&gt;",'Auction Log'!$E$5:$E$304,"&gt;0")=0,"Available",IFERROR(INDEX('Auction Log'!$D$5:$D$304,MATCH(1,('Auction Log'!$B$5:$B$304=A201)*('Auction Log'!$D$5:$D$304&lt;&gt;"")*('Auction Log'!$E$5:$E$304&gt;0),0)),"SOLD"))</f>
        <v>Available</v>
      </c>
      <c r="E201" s="19" t="str">
        <f aca="false">IF(COUNTIFS('Auction Log'!$B$5:$B$304,A201,'Auction Log'!$D$5:$D$304,"&lt;&gt;",'Auction Log'!$E$5:$E$304,"&gt;0")=0,"",IFERROR(INDEX('Auction Log'!$E$5:$E$304,MATCH(1,('Auction Log'!$B$5:$B$304=A201)*('Auction Log'!$D$5:$D$304&lt;&gt;"")*('Auction Log'!$E$5:$E$304&gt;0),0)),""))</f>
        <v/>
      </c>
      <c r="F201" s="18" t="s">
        <v>144</v>
      </c>
      <c r="G201" s="18" t="s">
        <v>34</v>
      </c>
      <c r="H201" s="18" t="n">
        <v>7</v>
      </c>
      <c r="I201" s="18" t="n">
        <v>198</v>
      </c>
      <c r="J201" s="18" t="n">
        <v>10</v>
      </c>
      <c r="K201" s="36" t="n">
        <v>109</v>
      </c>
      <c r="L201" s="36"/>
      <c r="M201" s="19" t="n">
        <v>0</v>
      </c>
      <c r="N201" s="19" t="n">
        <v>1</v>
      </c>
      <c r="O201" s="19" t="n">
        <v>-1</v>
      </c>
      <c r="P201" s="19" t="n">
        <v>0</v>
      </c>
      <c r="Q201" s="19" t="n">
        <v>0</v>
      </c>
      <c r="R201" s="19" t="n">
        <v>1</v>
      </c>
      <c r="S201" s="19" t="n">
        <v>1</v>
      </c>
      <c r="T201" s="18" t="s">
        <v>291</v>
      </c>
      <c r="U201" s="32"/>
      <c r="V201" s="19" t="str">
        <f aca="false">IF(E201="","",R201-E201)</f>
        <v/>
      </c>
      <c r="W201" s="18" t="s">
        <v>98</v>
      </c>
      <c r="X201" s="4" t="n">
        <f aca="false">IF(AND(D201="Available",R201&gt;=55),ROW(),9999)</f>
        <v>9999</v>
      </c>
      <c r="Y201" s="4" t="n">
        <f aca="false">IF(AND(D201="Available",R201&gt;=40,R201&lt;55),ROW(),9999)</f>
        <v>9999</v>
      </c>
      <c r="Z201" s="4" t="n">
        <f aca="false">IF(AND(D201="Available",R201&gt;=25,R201&lt;40),ROW(),9999)</f>
        <v>9999</v>
      </c>
      <c r="AA201" s="35" t="n">
        <f aca="false">IF(K201="","",IF(L201="",K201,ROUND(AVERAGE(K201,L201),0)))</f>
        <v>109</v>
      </c>
    </row>
    <row r="202" customFormat="false" ht="15" hidden="false" customHeight="false" outlineLevel="0" collapsed="false">
      <c r="A202" s="18" t="s">
        <v>354</v>
      </c>
      <c r="B202" s="19" t="n">
        <f aca="false">R202-N202</f>
        <v>0</v>
      </c>
      <c r="C202" s="18" t="str">
        <f aca="false">IF(B202&gt;=5,"SMASH BUY",IF(B202&gt;=2,"BUY",IF(B202&gt;=-1,"NEUTRAL",IF(B202&gt;=-4,"AVOID","DO NOT BID"))))</f>
        <v>NEUTRAL</v>
      </c>
      <c r="D202" s="18" t="str">
        <f aca="false">IF(COUNTIFS('Auction Log'!$B$5:$B$304,A202,'Auction Log'!$D$5:$D$304,"&lt;&gt;",'Auction Log'!$E$5:$E$304,"&gt;0")=0,"Available",IFERROR(INDEX('Auction Log'!$D$5:$D$304,MATCH(1,('Auction Log'!$B$5:$B$304=A202)*('Auction Log'!$D$5:$D$304&lt;&gt;"")*('Auction Log'!$E$5:$E$304&gt;0),0)),"SOLD"))</f>
        <v>Available</v>
      </c>
      <c r="E202" s="19" t="str">
        <f aca="false">IF(COUNTIFS('Auction Log'!$B$5:$B$304,A202,'Auction Log'!$D$5:$D$304,"&lt;&gt;",'Auction Log'!$E$5:$E$304,"&gt;0")=0,"",IFERROR(INDEX('Auction Log'!$E$5:$E$304,MATCH(1,('Auction Log'!$B$5:$B$304=A202)*('Auction Log'!$D$5:$D$304&lt;&gt;"")*('Auction Log'!$E$5:$E$304&gt;0),0)),""))</f>
        <v/>
      </c>
      <c r="F202" s="18" t="s">
        <v>134</v>
      </c>
      <c r="G202" s="18" t="s">
        <v>37</v>
      </c>
      <c r="H202" s="18" t="n">
        <v>8</v>
      </c>
      <c r="I202" s="18" t="n">
        <v>199</v>
      </c>
      <c r="J202" s="18" t="n">
        <v>10</v>
      </c>
      <c r="K202" s="36" t="n">
        <v>144</v>
      </c>
      <c r="L202" s="36"/>
      <c r="M202" s="19" t="n">
        <v>0</v>
      </c>
      <c r="N202" s="19" t="n">
        <v>1</v>
      </c>
      <c r="O202" s="19" t="n">
        <v>-1</v>
      </c>
      <c r="P202" s="19" t="n">
        <v>0</v>
      </c>
      <c r="Q202" s="19" t="n">
        <v>0</v>
      </c>
      <c r="R202" s="19" t="n">
        <v>1</v>
      </c>
      <c r="S202" s="19" t="n">
        <v>1</v>
      </c>
      <c r="T202" s="18" t="s">
        <v>291</v>
      </c>
      <c r="U202" s="32"/>
      <c r="V202" s="19" t="str">
        <f aca="false">IF(E202="","",R202-E202)</f>
        <v/>
      </c>
      <c r="W202" s="18" t="s">
        <v>98</v>
      </c>
      <c r="X202" s="4" t="n">
        <f aca="false">IF(AND(D202="Available",R202&gt;=55),ROW(),9999)</f>
        <v>9999</v>
      </c>
      <c r="Y202" s="4" t="n">
        <f aca="false">IF(AND(D202="Available",R202&gt;=40,R202&lt;55),ROW(),9999)</f>
        <v>9999</v>
      </c>
      <c r="Z202" s="4" t="n">
        <f aca="false">IF(AND(D202="Available",R202&gt;=25,R202&lt;40),ROW(),9999)</f>
        <v>9999</v>
      </c>
      <c r="AA202" s="35" t="n">
        <f aca="false">IF(K202="","",IF(L202="",K202,ROUND(AVERAGE(K202,L202),0)))</f>
        <v>144</v>
      </c>
    </row>
    <row r="203" customFormat="false" ht="15" hidden="false" customHeight="false" outlineLevel="0" collapsed="false">
      <c r="A203" s="18" t="s">
        <v>355</v>
      </c>
      <c r="B203" s="19" t="n">
        <f aca="false">R203-N203</f>
        <v>0</v>
      </c>
      <c r="C203" s="18" t="str">
        <f aca="false">IF(B203&gt;=5,"SMASH BUY",IF(B203&gt;=2,"BUY",IF(B203&gt;=-1,"NEUTRAL",IF(B203&gt;=-4,"AVOID","DO NOT BID"))))</f>
        <v>NEUTRAL</v>
      </c>
      <c r="D203" s="18" t="str">
        <f aca="false">IF(COUNTIFS('Auction Log'!$B$5:$B$304,A203,'Auction Log'!$D$5:$D$304,"&lt;&gt;",'Auction Log'!$E$5:$E$304,"&gt;0")=0,"Available",IFERROR(INDEX('Auction Log'!$D$5:$D$304,MATCH(1,('Auction Log'!$B$5:$B$304=A203)*('Auction Log'!$D$5:$D$304&lt;&gt;"")*('Auction Log'!$E$5:$E$304&gt;0),0)),"SOLD"))</f>
        <v>Available</v>
      </c>
      <c r="E203" s="19" t="str">
        <f aca="false">IF(COUNTIFS('Auction Log'!$B$5:$B$304,A203,'Auction Log'!$D$5:$D$304,"&lt;&gt;",'Auction Log'!$E$5:$E$304,"&gt;0")=0,"",IFERROR(INDEX('Auction Log'!$E$5:$E$304,MATCH(1,('Auction Log'!$B$5:$B$304=A203)*('Auction Log'!$D$5:$D$304&lt;&gt;"")*('Auction Log'!$E$5:$E$304&gt;0),0)),""))</f>
        <v/>
      </c>
      <c r="F203" s="18" t="s">
        <v>196</v>
      </c>
      <c r="G203" s="18" t="s">
        <v>37</v>
      </c>
      <c r="H203" s="18" t="n">
        <v>7</v>
      </c>
      <c r="I203" s="18" t="n">
        <v>200</v>
      </c>
      <c r="J203" s="18" t="n">
        <v>10</v>
      </c>
      <c r="K203" s="36" t="n">
        <v>131</v>
      </c>
      <c r="L203" s="36"/>
      <c r="M203" s="19" t="n">
        <v>0</v>
      </c>
      <c r="N203" s="19" t="n">
        <v>1</v>
      </c>
      <c r="O203" s="19" t="n">
        <v>-1</v>
      </c>
      <c r="P203" s="19" t="n">
        <v>0</v>
      </c>
      <c r="Q203" s="19" t="n">
        <v>0</v>
      </c>
      <c r="R203" s="19" t="n">
        <v>1</v>
      </c>
      <c r="S203" s="19" t="n">
        <v>1</v>
      </c>
      <c r="T203" s="18" t="s">
        <v>291</v>
      </c>
      <c r="U203" s="32"/>
      <c r="V203" s="19" t="str">
        <f aca="false">IF(E203="","",R203-E203)</f>
        <v/>
      </c>
      <c r="W203" s="18" t="s">
        <v>98</v>
      </c>
      <c r="X203" s="4" t="n">
        <f aca="false">IF(AND(D203="Available",R203&gt;=55),ROW(),9999)</f>
        <v>9999</v>
      </c>
      <c r="Y203" s="4" t="n">
        <f aca="false">IF(AND(D203="Available",R203&gt;=40,R203&lt;55),ROW(),9999)</f>
        <v>9999</v>
      </c>
      <c r="Z203" s="4" t="n">
        <f aca="false">IF(AND(D203="Available",R203&gt;=25,R203&lt;40),ROW(),9999)</f>
        <v>9999</v>
      </c>
      <c r="AA203" s="35" t="n">
        <f aca="false">IF(K203="","",IF(L203="",K203,ROUND(AVERAGE(K203,L203),0)))</f>
        <v>131</v>
      </c>
    </row>
    <row r="204" customFormat="false" ht="28.5" hidden="false" customHeight="true" outlineLevel="0" collapsed="false">
      <c r="A204" s="18" t="s">
        <v>356</v>
      </c>
      <c r="B204" s="19" t="n">
        <f aca="false">R204-N204</f>
        <v>-5</v>
      </c>
      <c r="C204" s="18" t="str">
        <f aca="false">IF(B204&gt;=5,"SMASH BUY",IF(B204&gt;=2,"BUY",IF(B204&gt;=-1,"NEUTRAL",IF(B204&gt;=-4,"AVOID","DO NOT BID"))))</f>
        <v>DO NOT BID</v>
      </c>
      <c r="D204" s="18" t="str">
        <f aca="false">IF(COUNTIFS('Auction Log'!$B$5:$B$304,A204,'Auction Log'!$D$5:$D$304,"&lt;&gt;",'Auction Log'!$E$5:$E$304,"&gt;0")=0,"Available",IFERROR(INDEX('Auction Log'!$D$5:$D$304,MATCH(1,('Auction Log'!$B$5:$B$304=A204)*('Auction Log'!$D$5:$D$304&lt;&gt;"")*('Auction Log'!$E$5:$E$304&gt;0),0)),"SOLD"))</f>
        <v>Available</v>
      </c>
      <c r="E204" s="19" t="str">
        <f aca="false">IF(COUNTIFS('Auction Log'!$B$5:$B$304,A204,'Auction Log'!$D$5:$D$304,"&lt;&gt;",'Auction Log'!$E$5:$E$304,"&gt;0")=0,"",IFERROR(INDEX('Auction Log'!$E$5:$E$304,MATCH(1,('Auction Log'!$B$5:$B$304=A204)*('Auction Log'!$D$5:$D$304&lt;&gt;"")*('Auction Log'!$E$5:$E$304&gt;0),0)),""))</f>
        <v/>
      </c>
      <c r="F204" s="18" t="s">
        <v>134</v>
      </c>
      <c r="G204" s="18" t="s">
        <v>26</v>
      </c>
      <c r="H204" s="18" t="n">
        <v>8</v>
      </c>
      <c r="I204" s="18" t="n">
        <v>201</v>
      </c>
      <c r="J204" s="18" t="n">
        <v>10</v>
      </c>
      <c r="K204" s="36" t="n">
        <v>148</v>
      </c>
      <c r="L204" s="36" t="n">
        <v>153</v>
      </c>
      <c r="M204" s="19" t="n">
        <v>1</v>
      </c>
      <c r="N204" s="19" t="n">
        <v>6</v>
      </c>
      <c r="O204" s="19" t="n">
        <v>-4</v>
      </c>
      <c r="P204" s="19" t="n">
        <v>-1</v>
      </c>
      <c r="Q204" s="19" t="n">
        <v>1</v>
      </c>
      <c r="R204" s="19" t="n">
        <v>1</v>
      </c>
      <c r="S204" s="19" t="n">
        <v>1</v>
      </c>
      <c r="T204" s="18" t="s">
        <v>291</v>
      </c>
      <c r="U204" s="32" t="s">
        <v>357</v>
      </c>
      <c r="V204" s="19" t="str">
        <f aca="false">IF(E204="","",R204-E204)</f>
        <v/>
      </c>
      <c r="W204" s="18" t="s">
        <v>98</v>
      </c>
      <c r="X204" s="4" t="n">
        <f aca="false">IF(AND(D204="Available",R204&gt;=55),ROW(),9999)</f>
        <v>9999</v>
      </c>
      <c r="Y204" s="4" t="n">
        <f aca="false">IF(AND(D204="Available",R204&gt;=40,R204&lt;55),ROW(),9999)</f>
        <v>9999</v>
      </c>
      <c r="Z204" s="4" t="n">
        <f aca="false">IF(AND(D204="Available",R204&gt;=25,R204&lt;40),ROW(),9999)</f>
        <v>9999</v>
      </c>
      <c r="AA204" s="35" t="n">
        <f aca="false">IF(K204="","",IF(L204="",K204,ROUND(AVERAGE(K204,L204),0)))</f>
        <v>151</v>
      </c>
    </row>
    <row r="205" customFormat="false" ht="15" hidden="false" customHeight="false" outlineLevel="0" collapsed="false">
      <c r="A205" s="18" t="s">
        <v>358</v>
      </c>
      <c r="B205" s="19" t="n">
        <f aca="false">R205-N205</f>
        <v>0</v>
      </c>
      <c r="C205" s="18" t="str">
        <f aca="false">IF(B205&gt;=5,"SMASH BUY",IF(B205&gt;=2,"BUY",IF(B205&gt;=-1,"NEUTRAL",IF(B205&gt;=-4,"AVOID","DO NOT BID"))))</f>
        <v>NEUTRAL</v>
      </c>
      <c r="D205" s="18" t="str">
        <f aca="false">IF(COUNTIFS('Auction Log'!$B$5:$B$304,A205,'Auction Log'!$D$5:$D$304,"&lt;&gt;",'Auction Log'!$E$5:$E$304,"&gt;0")=0,"Available",IFERROR(INDEX('Auction Log'!$D$5:$D$304,MATCH(1,('Auction Log'!$B$5:$B$304=A205)*('Auction Log'!$D$5:$D$304&lt;&gt;"")*('Auction Log'!$E$5:$E$304&gt;0),0)),"SOLD"))</f>
        <v>Available</v>
      </c>
      <c r="E205" s="19" t="str">
        <f aca="false">IF(COUNTIFS('Auction Log'!$B$5:$B$304,A205,'Auction Log'!$D$5:$D$304,"&lt;&gt;",'Auction Log'!$E$5:$E$304,"&gt;0")=0,"",IFERROR(INDEX('Auction Log'!$E$5:$E$304,MATCH(1,('Auction Log'!$B$5:$B$304=A205)*('Auction Log'!$D$5:$D$304&lt;&gt;"")*('Auction Log'!$E$5:$E$304&gt;0),0)),""))</f>
        <v/>
      </c>
      <c r="F205" s="18" t="s">
        <v>132</v>
      </c>
      <c r="G205" s="18" t="s">
        <v>34</v>
      </c>
      <c r="H205" s="18" t="n">
        <v>13</v>
      </c>
      <c r="I205" s="18" t="n">
        <v>202</v>
      </c>
      <c r="J205" s="18" t="n">
        <v>10</v>
      </c>
      <c r="K205" s="36" t="n">
        <v>102</v>
      </c>
      <c r="L205" s="36"/>
      <c r="M205" s="19" t="n">
        <v>0</v>
      </c>
      <c r="N205" s="19" t="n">
        <v>1</v>
      </c>
      <c r="O205" s="19" t="n">
        <v>-1</v>
      </c>
      <c r="P205" s="19" t="n">
        <v>0</v>
      </c>
      <c r="Q205" s="19" t="n">
        <v>0</v>
      </c>
      <c r="R205" s="19" t="n">
        <v>1</v>
      </c>
      <c r="S205" s="19" t="n">
        <v>1</v>
      </c>
      <c r="T205" s="18" t="s">
        <v>291</v>
      </c>
      <c r="U205" s="32"/>
      <c r="V205" s="19" t="str">
        <f aca="false">IF(E205="","",R205-E205)</f>
        <v/>
      </c>
      <c r="W205" s="18" t="s">
        <v>98</v>
      </c>
      <c r="X205" s="4" t="n">
        <f aca="false">IF(AND(D205="Available",R205&gt;=55),ROW(),9999)</f>
        <v>9999</v>
      </c>
      <c r="Y205" s="4" t="n">
        <f aca="false">IF(AND(D205="Available",R205&gt;=40,R205&lt;55),ROW(),9999)</f>
        <v>9999</v>
      </c>
      <c r="Z205" s="4" t="n">
        <f aca="false">IF(AND(D205="Available",R205&gt;=25,R205&lt;40),ROW(),9999)</f>
        <v>9999</v>
      </c>
      <c r="AA205" s="35" t="n">
        <f aca="false">IF(K205="","",IF(L205="",K205,ROUND(AVERAGE(K205,L205),0)))</f>
        <v>102</v>
      </c>
    </row>
    <row r="206" customFormat="false" ht="15" hidden="false" customHeight="false" outlineLevel="0" collapsed="false">
      <c r="A206" s="18" t="s">
        <v>359</v>
      </c>
      <c r="B206" s="19" t="n">
        <f aca="false">R206-N206</f>
        <v>0</v>
      </c>
      <c r="C206" s="18" t="str">
        <f aca="false">IF(B206&gt;=5,"SMASH BUY",IF(B206&gt;=2,"BUY",IF(B206&gt;=-1,"NEUTRAL",IF(B206&gt;=-4,"AVOID","DO NOT BID"))))</f>
        <v>NEUTRAL</v>
      </c>
      <c r="D206" s="18" t="str">
        <f aca="false">IF(COUNTIFS('Auction Log'!$B$5:$B$304,A206,'Auction Log'!$D$5:$D$304,"&lt;&gt;",'Auction Log'!$E$5:$E$304,"&gt;0")=0,"Available",IFERROR(INDEX('Auction Log'!$D$5:$D$304,MATCH(1,('Auction Log'!$B$5:$B$304=A206)*('Auction Log'!$D$5:$D$304&lt;&gt;"")*('Auction Log'!$E$5:$E$304&gt;0),0)),"SOLD"))</f>
        <v>Available</v>
      </c>
      <c r="E206" s="19" t="str">
        <f aca="false">IF(COUNTIFS('Auction Log'!$B$5:$B$304,A206,'Auction Log'!$D$5:$D$304,"&lt;&gt;",'Auction Log'!$E$5:$E$304,"&gt;0")=0,"",IFERROR(INDEX('Auction Log'!$E$5:$E$304,MATCH(1,('Auction Log'!$B$5:$B$304=A206)*('Auction Log'!$D$5:$D$304&lt;&gt;"")*('Auction Log'!$E$5:$E$304&gt;0),0)),""))</f>
        <v/>
      </c>
      <c r="F206" s="18" t="s">
        <v>104</v>
      </c>
      <c r="G206" s="18" t="s">
        <v>37</v>
      </c>
      <c r="H206" s="18" t="n">
        <v>11</v>
      </c>
      <c r="I206" s="18" t="n">
        <v>203</v>
      </c>
      <c r="J206" s="18" t="n">
        <v>10</v>
      </c>
      <c r="K206" s="36" t="n">
        <v>150</v>
      </c>
      <c r="L206" s="36"/>
      <c r="M206" s="19" t="n">
        <v>0</v>
      </c>
      <c r="N206" s="19" t="n">
        <v>1</v>
      </c>
      <c r="O206" s="19" t="n">
        <v>-1</v>
      </c>
      <c r="P206" s="19" t="n">
        <v>0</v>
      </c>
      <c r="Q206" s="19" t="n">
        <v>0</v>
      </c>
      <c r="R206" s="19" t="n">
        <v>1</v>
      </c>
      <c r="S206" s="19" t="n">
        <v>1</v>
      </c>
      <c r="T206" s="18" t="s">
        <v>291</v>
      </c>
      <c r="U206" s="32"/>
      <c r="V206" s="19" t="str">
        <f aca="false">IF(E206="","",R206-E206)</f>
        <v/>
      </c>
      <c r="W206" s="18" t="s">
        <v>98</v>
      </c>
      <c r="X206" s="4" t="n">
        <f aca="false">IF(AND(D206="Available",R206&gt;=55),ROW(),9999)</f>
        <v>9999</v>
      </c>
      <c r="Y206" s="4" t="n">
        <f aca="false">IF(AND(D206="Available",R206&gt;=40,R206&lt;55),ROW(),9999)</f>
        <v>9999</v>
      </c>
      <c r="Z206" s="4" t="n">
        <f aca="false">IF(AND(D206="Available",R206&gt;=25,R206&lt;40),ROW(),9999)</f>
        <v>9999</v>
      </c>
      <c r="AA206" s="35" t="n">
        <f aca="false">IF(K206="","",IF(L206="",K206,ROUND(AVERAGE(K206,L206),0)))</f>
        <v>150</v>
      </c>
    </row>
    <row r="207" customFormat="false" ht="15" hidden="false" customHeight="false" outlineLevel="0" collapsed="false">
      <c r="A207" s="18" t="s">
        <v>360</v>
      </c>
      <c r="B207" s="19" t="n">
        <f aca="false">R207-N207</f>
        <v>1</v>
      </c>
      <c r="C207" s="18" t="str">
        <f aca="false">IF(B207&gt;=5,"SMASH BUY",IF(B207&gt;=2,"BUY",IF(B207&gt;=-1,"NEUTRAL",IF(B207&gt;=-4,"AVOID","DO NOT BID"))))</f>
        <v>NEUTRAL</v>
      </c>
      <c r="D207" s="18" t="str">
        <f aca="false">IF(COUNTIFS('Auction Log'!$B$5:$B$304,A207,'Auction Log'!$D$5:$D$304,"&lt;&gt;",'Auction Log'!$E$5:$E$304,"&gt;0")=0,"Available",IFERROR(INDEX('Auction Log'!$D$5:$D$304,MATCH(1,('Auction Log'!$B$5:$B$304=A207)*('Auction Log'!$D$5:$D$304&lt;&gt;"")*('Auction Log'!$E$5:$E$304&gt;0),0)),"SOLD"))</f>
        <v>Available</v>
      </c>
      <c r="E207" s="19" t="str">
        <f aca="false">IF(COUNTIFS('Auction Log'!$B$5:$B$304,A207,'Auction Log'!$D$5:$D$304,"&lt;&gt;",'Auction Log'!$E$5:$E$304,"&gt;0")=0,"",IFERROR(INDEX('Auction Log'!$E$5:$E$304,MATCH(1,('Auction Log'!$B$5:$B$304=A207)*('Auction Log'!$D$5:$D$304&lt;&gt;"")*('Auction Log'!$E$5:$E$304&gt;0),0)),""))</f>
        <v/>
      </c>
      <c r="F207" s="18" t="s">
        <v>202</v>
      </c>
      <c r="G207" s="18" t="s">
        <v>21</v>
      </c>
      <c r="H207" s="18" t="n">
        <v>9</v>
      </c>
      <c r="I207" s="18" t="n">
        <v>204</v>
      </c>
      <c r="J207" s="18" t="n">
        <v>10</v>
      </c>
      <c r="K207" s="36"/>
      <c r="L207" s="36" t="n">
        <v>20</v>
      </c>
      <c r="M207" s="19" t="n">
        <v>0</v>
      </c>
      <c r="N207" s="19" t="n">
        <v>0</v>
      </c>
      <c r="O207" s="19" t="n">
        <v>0</v>
      </c>
      <c r="P207" s="19" t="n">
        <v>0</v>
      </c>
      <c r="Q207" s="19" t="n">
        <v>0</v>
      </c>
      <c r="R207" s="19" t="n">
        <v>1</v>
      </c>
      <c r="S207" s="19" t="n">
        <v>1</v>
      </c>
      <c r="T207" s="18" t="s">
        <v>291</v>
      </c>
      <c r="U207" s="32"/>
      <c r="V207" s="19" t="str">
        <f aca="false">IF(E207="","",R207-E207)</f>
        <v/>
      </c>
      <c r="W207" s="18" t="s">
        <v>98</v>
      </c>
      <c r="X207" s="4" t="n">
        <f aca="false">IF(AND(D207="Available",R207&gt;=55),ROW(),9999)</f>
        <v>9999</v>
      </c>
      <c r="Y207" s="4" t="n">
        <f aca="false">IF(AND(D207="Available",R207&gt;=40,R207&lt;55),ROW(),9999)</f>
        <v>9999</v>
      </c>
      <c r="Z207" s="4" t="n">
        <f aca="false">IF(AND(D207="Available",R207&gt;=25,R207&lt;40),ROW(),9999)</f>
        <v>9999</v>
      </c>
      <c r="AA207" s="35" t="str">
        <f aca="false">IF(K207="","",IF(L207="",K207,ROUND(AVERAGE(K207,L207),0)))</f>
        <v/>
      </c>
    </row>
    <row r="208" customFormat="false" ht="15" hidden="false" customHeight="false" outlineLevel="0" collapsed="false">
      <c r="A208" s="18" t="s">
        <v>361</v>
      </c>
      <c r="B208" s="19" t="n">
        <f aca="false">R208-N208</f>
        <v>1</v>
      </c>
      <c r="C208" s="18" t="str">
        <f aca="false">IF(B208&gt;=5,"SMASH BUY",IF(B208&gt;=2,"BUY",IF(B208&gt;=-1,"NEUTRAL",IF(B208&gt;=-4,"AVOID","DO NOT BID"))))</f>
        <v>NEUTRAL</v>
      </c>
      <c r="D208" s="18" t="str">
        <f aca="false">IF(COUNTIFS('Auction Log'!$B$5:$B$304,A208,'Auction Log'!$D$5:$D$304,"&lt;&gt;",'Auction Log'!$E$5:$E$304,"&gt;0")=0,"Available",IFERROR(INDEX('Auction Log'!$D$5:$D$304,MATCH(1,('Auction Log'!$B$5:$B$304=A208)*('Auction Log'!$D$5:$D$304&lt;&gt;"")*('Auction Log'!$E$5:$E$304&gt;0),0)),"SOLD"))</f>
        <v>Available</v>
      </c>
      <c r="E208" s="19" t="str">
        <f aca="false">IF(COUNTIFS('Auction Log'!$B$5:$B$304,A208,'Auction Log'!$D$5:$D$304,"&lt;&gt;",'Auction Log'!$E$5:$E$304,"&gt;0")=0,"",IFERROR(INDEX('Auction Log'!$E$5:$E$304,MATCH(1,('Auction Log'!$B$5:$B$304=A208)*('Auction Log'!$D$5:$D$304&lt;&gt;"")*('Auction Log'!$E$5:$E$304&gt;0),0)),""))</f>
        <v/>
      </c>
      <c r="F208" s="18" t="s">
        <v>136</v>
      </c>
      <c r="G208" s="18" t="s">
        <v>21</v>
      </c>
      <c r="H208" s="18" t="n">
        <v>14</v>
      </c>
      <c r="I208" s="18" t="n">
        <v>205</v>
      </c>
      <c r="J208" s="18" t="n">
        <v>11</v>
      </c>
      <c r="K208" s="36"/>
      <c r="L208" s="36"/>
      <c r="M208" s="19" t="n">
        <v>0</v>
      </c>
      <c r="N208" s="19" t="n">
        <v>0</v>
      </c>
      <c r="O208" s="19" t="n">
        <v>0</v>
      </c>
      <c r="P208" s="19" t="n">
        <v>0</v>
      </c>
      <c r="Q208" s="19" t="n">
        <v>0</v>
      </c>
      <c r="R208" s="19" t="n">
        <v>1</v>
      </c>
      <c r="S208" s="19" t="n">
        <v>1</v>
      </c>
      <c r="T208" s="18" t="s">
        <v>291</v>
      </c>
      <c r="U208" s="32" t="s">
        <v>678</v>
      </c>
      <c r="V208" s="19" t="str">
        <f aca="false">IF(E208="","",R208-E208)</f>
        <v/>
      </c>
      <c r="W208" s="18" t="s">
        <v>98</v>
      </c>
      <c r="X208" s="4" t="n">
        <f aca="false">IF(AND(D208="Available",R208&gt;=55),ROW(),9999)</f>
        <v>9999</v>
      </c>
      <c r="Y208" s="4" t="n">
        <f aca="false">IF(AND(D208="Available",R208&gt;=40,R208&lt;55),ROW(),9999)</f>
        <v>9999</v>
      </c>
      <c r="Z208" s="4" t="n">
        <f aca="false">IF(AND(D208="Available",R208&gt;=25,R208&lt;40),ROW(),9999)</f>
        <v>9999</v>
      </c>
      <c r="AA208" s="35" t="str">
        <f aca="false">IF(K208="","",IF(L208="",K208,ROUND(AVERAGE(K208,L208),0)))</f>
        <v/>
      </c>
    </row>
    <row r="209" customFormat="false" ht="15" hidden="false" customHeight="false" outlineLevel="0" collapsed="false">
      <c r="A209" s="18" t="s">
        <v>362</v>
      </c>
      <c r="B209" s="19" t="n">
        <f aca="false">R209-N209</f>
        <v>1</v>
      </c>
      <c r="C209" s="18" t="str">
        <f aca="false">IF(B209&gt;=5,"SMASH BUY",IF(B209&gt;=2,"BUY",IF(B209&gt;=-1,"NEUTRAL",IF(B209&gt;=-4,"AVOID","DO NOT BID"))))</f>
        <v>NEUTRAL</v>
      </c>
      <c r="D209" s="18" t="str">
        <f aca="false">IF(COUNTIFS('Auction Log'!$B$5:$B$304,A209,'Auction Log'!$D$5:$D$304,"&lt;&gt;",'Auction Log'!$E$5:$E$304,"&gt;0")=0,"Available",IFERROR(INDEX('Auction Log'!$D$5:$D$304,MATCH(1,('Auction Log'!$B$5:$B$304=A209)*('Auction Log'!$D$5:$D$304&lt;&gt;"")*('Auction Log'!$E$5:$E$304&gt;0),0)),"SOLD"))</f>
        <v>Available</v>
      </c>
      <c r="E209" s="19" t="str">
        <f aca="false">IF(COUNTIFS('Auction Log'!$B$5:$B$304,A209,'Auction Log'!$D$5:$D$304,"&lt;&gt;",'Auction Log'!$E$5:$E$304,"&gt;0")=0,"",IFERROR(INDEX('Auction Log'!$E$5:$E$304,MATCH(1,('Auction Log'!$B$5:$B$304=A209)*('Auction Log'!$D$5:$D$304&lt;&gt;"")*('Auction Log'!$E$5:$E$304&gt;0),0)),""))</f>
        <v/>
      </c>
      <c r="F209" s="18" t="s">
        <v>202</v>
      </c>
      <c r="G209" s="18" t="s">
        <v>30</v>
      </c>
      <c r="H209" s="18" t="n">
        <v>9</v>
      </c>
      <c r="I209" s="18" t="n">
        <v>206</v>
      </c>
      <c r="J209" s="18" t="n">
        <v>11</v>
      </c>
      <c r="K209" s="36"/>
      <c r="L209" s="36" t="n">
        <v>127</v>
      </c>
      <c r="M209" s="19" t="n">
        <v>0</v>
      </c>
      <c r="N209" s="19" t="n">
        <v>0</v>
      </c>
      <c r="O209" s="19" t="n">
        <v>0</v>
      </c>
      <c r="P209" s="19" t="n">
        <v>0</v>
      </c>
      <c r="Q209" s="19" t="n">
        <v>0</v>
      </c>
      <c r="R209" s="19" t="n">
        <v>1</v>
      </c>
      <c r="S209" s="19" t="n">
        <v>1</v>
      </c>
      <c r="T209" s="18" t="s">
        <v>291</v>
      </c>
      <c r="U209" s="32"/>
      <c r="V209" s="19" t="str">
        <f aca="false">IF(E209="","",R209-E209)</f>
        <v/>
      </c>
      <c r="W209" s="18" t="s">
        <v>98</v>
      </c>
      <c r="X209" s="4" t="n">
        <f aca="false">IF(AND(D209="Available",R209&gt;=55),ROW(),9999)</f>
        <v>9999</v>
      </c>
      <c r="Y209" s="4" t="n">
        <f aca="false">IF(AND(D209="Available",R209&gt;=40,R209&lt;55),ROW(),9999)</f>
        <v>9999</v>
      </c>
      <c r="Z209" s="4" t="n">
        <f aca="false">IF(AND(D209="Available",R209&gt;=25,R209&lt;40),ROW(),9999)</f>
        <v>9999</v>
      </c>
      <c r="AA209" s="35" t="str">
        <f aca="false">IF(K209="","",IF(L209="",K209,ROUND(AVERAGE(K209,L209),0)))</f>
        <v/>
      </c>
    </row>
    <row r="210" customFormat="false" ht="15" hidden="false" customHeight="false" outlineLevel="0" collapsed="false">
      <c r="A210" s="18" t="s">
        <v>363</v>
      </c>
      <c r="B210" s="19" t="n">
        <f aca="false">R210-N210</f>
        <v>1</v>
      </c>
      <c r="C210" s="18" t="str">
        <f aca="false">IF(B210&gt;=5,"SMASH BUY",IF(B210&gt;=2,"BUY",IF(B210&gt;=-1,"NEUTRAL",IF(B210&gt;=-4,"AVOID","DO NOT BID"))))</f>
        <v>NEUTRAL</v>
      </c>
      <c r="D210" s="18" t="str">
        <f aca="false">IF(COUNTIFS('Auction Log'!$B$5:$B$304,A210,'Auction Log'!$D$5:$D$304,"&lt;&gt;",'Auction Log'!$E$5:$E$304,"&gt;0")=0,"Available",IFERROR(INDEX('Auction Log'!$D$5:$D$304,MATCH(1,('Auction Log'!$B$5:$B$304=A210)*('Auction Log'!$D$5:$D$304&lt;&gt;"")*('Auction Log'!$E$5:$E$304&gt;0),0)),"SOLD"))</f>
        <v>Available</v>
      </c>
      <c r="E210" s="19" t="str">
        <f aca="false">IF(COUNTIFS('Auction Log'!$B$5:$B$304,A210,'Auction Log'!$D$5:$D$304,"&lt;&gt;",'Auction Log'!$E$5:$E$304,"&gt;0")=0,"",IFERROR(INDEX('Auction Log'!$E$5:$E$304,MATCH(1,('Auction Log'!$B$5:$B$304=A210)*('Auction Log'!$D$5:$D$304&lt;&gt;"")*('Auction Log'!$E$5:$E$304&gt;0),0)),""))</f>
        <v/>
      </c>
      <c r="F210" s="18" t="s">
        <v>106</v>
      </c>
      <c r="G210" s="18" t="s">
        <v>30</v>
      </c>
      <c r="H210" s="18" t="n">
        <v>11</v>
      </c>
      <c r="I210" s="18" t="n">
        <v>207</v>
      </c>
      <c r="J210" s="18" t="n">
        <v>11</v>
      </c>
      <c r="K210" s="36"/>
      <c r="L210" s="36" t="n">
        <v>136</v>
      </c>
      <c r="M210" s="19" t="n">
        <v>1</v>
      </c>
      <c r="N210" s="19" t="n">
        <v>0</v>
      </c>
      <c r="O210" s="19" t="n">
        <v>0</v>
      </c>
      <c r="P210" s="19" t="n">
        <v>0</v>
      </c>
      <c r="Q210" s="19" t="n">
        <v>0</v>
      </c>
      <c r="R210" s="19" t="n">
        <v>1</v>
      </c>
      <c r="S210" s="19" t="n">
        <v>1</v>
      </c>
      <c r="T210" s="18" t="s">
        <v>291</v>
      </c>
      <c r="U210" s="32"/>
      <c r="V210" s="19" t="str">
        <f aca="false">IF(E210="","",R210-E210)</f>
        <v/>
      </c>
      <c r="W210" s="18" t="s">
        <v>98</v>
      </c>
      <c r="X210" s="4" t="n">
        <f aca="false">IF(AND(D210="Available",R210&gt;=55),ROW(),9999)</f>
        <v>9999</v>
      </c>
      <c r="Y210" s="4" t="n">
        <f aca="false">IF(AND(D210="Available",R210&gt;=40,R210&lt;55),ROW(),9999)</f>
        <v>9999</v>
      </c>
      <c r="Z210" s="4" t="n">
        <f aca="false">IF(AND(D210="Available",R210&gt;=25,R210&lt;40),ROW(),9999)</f>
        <v>9999</v>
      </c>
      <c r="AA210" s="35" t="str">
        <f aca="false">IF(K210="","",IF(L210="",K210,ROUND(AVERAGE(K210,L210),0)))</f>
        <v/>
      </c>
    </row>
    <row r="211" customFormat="false" ht="15" hidden="false" customHeight="false" outlineLevel="0" collapsed="false">
      <c r="A211" s="18" t="s">
        <v>364</v>
      </c>
      <c r="B211" s="19" t="n">
        <f aca="false">R211-N211</f>
        <v>0</v>
      </c>
      <c r="C211" s="18" t="str">
        <f aca="false">IF(B211&gt;=5,"SMASH BUY",IF(B211&gt;=2,"BUY",IF(B211&gt;=-1,"NEUTRAL",IF(B211&gt;=-4,"AVOID","DO NOT BID"))))</f>
        <v>NEUTRAL</v>
      </c>
      <c r="D211" s="18" t="str">
        <f aca="false">IF(COUNTIFS('Auction Log'!$B$5:$B$304,A211,'Auction Log'!$D$5:$D$304,"&lt;&gt;",'Auction Log'!$E$5:$E$304,"&gt;0")=0,"Available",IFERROR(INDEX('Auction Log'!$D$5:$D$304,MATCH(1,('Auction Log'!$B$5:$B$304=A211)*('Auction Log'!$D$5:$D$304&lt;&gt;"")*('Auction Log'!$E$5:$E$304&gt;0),0)),"SOLD"))</f>
        <v>Available</v>
      </c>
      <c r="E211" s="19" t="str">
        <f aca="false">IF(COUNTIFS('Auction Log'!$B$5:$B$304,A211,'Auction Log'!$D$5:$D$304,"&lt;&gt;",'Auction Log'!$E$5:$E$304,"&gt;0")=0,"",IFERROR(INDEX('Auction Log'!$E$5:$E$304,MATCH(1,('Auction Log'!$B$5:$B$304=A211)*('Auction Log'!$D$5:$D$304&lt;&gt;"")*('Auction Log'!$E$5:$E$304&gt;0),0)),""))</f>
        <v/>
      </c>
      <c r="F211" s="18" t="s">
        <v>132</v>
      </c>
      <c r="G211" s="18" t="s">
        <v>37</v>
      </c>
      <c r="H211" s="18" t="n">
        <v>13</v>
      </c>
      <c r="I211" s="18" t="n">
        <v>208</v>
      </c>
      <c r="J211" s="18" t="n">
        <v>11</v>
      </c>
      <c r="K211" s="36" t="n">
        <v>132</v>
      </c>
      <c r="L211" s="36"/>
      <c r="M211" s="19" t="n">
        <v>0</v>
      </c>
      <c r="N211" s="19" t="n">
        <v>1</v>
      </c>
      <c r="O211" s="19" t="n">
        <v>-2</v>
      </c>
      <c r="P211" s="19" t="n">
        <v>0</v>
      </c>
      <c r="Q211" s="19" t="n">
        <v>0</v>
      </c>
      <c r="R211" s="19" t="n">
        <v>1</v>
      </c>
      <c r="S211" s="19" t="n">
        <v>1</v>
      </c>
      <c r="T211" s="18" t="s">
        <v>291</v>
      </c>
      <c r="U211" s="32"/>
      <c r="V211" s="19" t="str">
        <f aca="false">IF(E211="","",R211-E211)</f>
        <v/>
      </c>
      <c r="W211" s="18" t="s">
        <v>98</v>
      </c>
      <c r="X211" s="4" t="n">
        <f aca="false">IF(AND(D211="Available",R211&gt;=55),ROW(),9999)</f>
        <v>9999</v>
      </c>
      <c r="Y211" s="4" t="n">
        <f aca="false">IF(AND(D211="Available",R211&gt;=40,R211&lt;55),ROW(),9999)</f>
        <v>9999</v>
      </c>
      <c r="Z211" s="4" t="n">
        <f aca="false">IF(AND(D211="Available",R211&gt;=25,R211&lt;40),ROW(),9999)</f>
        <v>9999</v>
      </c>
      <c r="AA211" s="35" t="n">
        <f aca="false">IF(K211="","",IF(L211="",K211,ROUND(AVERAGE(K211,L211),0)))</f>
        <v>132</v>
      </c>
    </row>
    <row r="212" customFormat="false" ht="15" hidden="false" customHeight="false" outlineLevel="0" collapsed="false">
      <c r="A212" s="18" t="s">
        <v>365</v>
      </c>
      <c r="B212" s="19" t="n">
        <f aca="false">R212-N212</f>
        <v>0</v>
      </c>
      <c r="C212" s="18" t="str">
        <f aca="false">IF(B212&gt;=5,"SMASH BUY",IF(B212&gt;=2,"BUY",IF(B212&gt;=-1,"NEUTRAL",IF(B212&gt;=-4,"AVOID","DO NOT BID"))))</f>
        <v>NEUTRAL</v>
      </c>
      <c r="D212" s="18" t="str">
        <f aca="false">IF(COUNTIFS('Auction Log'!$B$5:$B$304,A212,'Auction Log'!$D$5:$D$304,"&lt;&gt;",'Auction Log'!$E$5:$E$304,"&gt;0")=0,"Available",IFERROR(INDEX('Auction Log'!$D$5:$D$304,MATCH(1,('Auction Log'!$B$5:$B$304=A212)*('Auction Log'!$D$5:$D$304&lt;&gt;"")*('Auction Log'!$E$5:$E$304&gt;0),0)),"SOLD"))</f>
        <v>Available</v>
      </c>
      <c r="E212" s="19" t="str">
        <f aca="false">IF(COUNTIFS('Auction Log'!$B$5:$B$304,A212,'Auction Log'!$D$5:$D$304,"&lt;&gt;",'Auction Log'!$E$5:$E$304,"&gt;0")=0,"",IFERROR(INDEX('Auction Log'!$E$5:$E$304,MATCH(1,('Auction Log'!$B$5:$B$304=A212)*('Auction Log'!$D$5:$D$304&lt;&gt;"")*('Auction Log'!$E$5:$E$304&gt;0),0)),""))</f>
        <v/>
      </c>
      <c r="F212" s="18" t="s">
        <v>111</v>
      </c>
      <c r="G212" s="18" t="s">
        <v>37</v>
      </c>
      <c r="H212" s="18" t="n">
        <v>8</v>
      </c>
      <c r="I212" s="18" t="n">
        <v>209</v>
      </c>
      <c r="J212" s="18" t="n">
        <v>11</v>
      </c>
      <c r="K212" s="36" t="n">
        <v>133</v>
      </c>
      <c r="L212" s="36"/>
      <c r="M212" s="19" t="n">
        <v>0</v>
      </c>
      <c r="N212" s="19" t="n">
        <v>1</v>
      </c>
      <c r="O212" s="19" t="n">
        <v>-2</v>
      </c>
      <c r="P212" s="19" t="n">
        <v>0</v>
      </c>
      <c r="Q212" s="19" t="n">
        <v>0</v>
      </c>
      <c r="R212" s="19" t="n">
        <v>1</v>
      </c>
      <c r="S212" s="19" t="n">
        <v>1</v>
      </c>
      <c r="T212" s="18" t="s">
        <v>291</v>
      </c>
      <c r="U212" s="32"/>
      <c r="V212" s="19" t="str">
        <f aca="false">IF(E212="","",R212-E212)</f>
        <v/>
      </c>
      <c r="W212" s="18" t="s">
        <v>98</v>
      </c>
      <c r="X212" s="4" t="n">
        <f aca="false">IF(AND(D212="Available",R212&gt;=55),ROW(),9999)</f>
        <v>9999</v>
      </c>
      <c r="Y212" s="4" t="n">
        <f aca="false">IF(AND(D212="Available",R212&gt;=40,R212&lt;55),ROW(),9999)</f>
        <v>9999</v>
      </c>
      <c r="Z212" s="4" t="n">
        <f aca="false">IF(AND(D212="Available",R212&gt;=25,R212&lt;40),ROW(),9999)</f>
        <v>9999</v>
      </c>
      <c r="AA212" s="35" t="n">
        <f aca="false">IF(K212="","",IF(L212="",K212,ROUND(AVERAGE(K212,L212),0)))</f>
        <v>133</v>
      </c>
    </row>
    <row r="213" customFormat="false" ht="15" hidden="false" customHeight="false" outlineLevel="0" collapsed="false">
      <c r="A213" s="18" t="s">
        <v>366</v>
      </c>
      <c r="B213" s="19" t="n">
        <f aca="false">R213-N213</f>
        <v>1</v>
      </c>
      <c r="C213" s="18" t="str">
        <f aca="false">IF(B213&gt;=5,"SMASH BUY",IF(B213&gt;=2,"BUY",IF(B213&gt;=-1,"NEUTRAL",IF(B213&gt;=-4,"AVOID","DO NOT BID"))))</f>
        <v>NEUTRAL</v>
      </c>
      <c r="D213" s="18" t="str">
        <f aca="false">IF(COUNTIFS('Auction Log'!$B$5:$B$304,A213,'Auction Log'!$D$5:$D$304,"&lt;&gt;",'Auction Log'!$E$5:$E$304,"&gt;0")=0,"Available",IFERROR(INDEX('Auction Log'!$D$5:$D$304,MATCH(1,('Auction Log'!$B$5:$B$304=A213)*('Auction Log'!$D$5:$D$304&lt;&gt;"")*('Auction Log'!$E$5:$E$304&gt;0),0)),"SOLD"))</f>
        <v>Available</v>
      </c>
      <c r="E213" s="19" t="str">
        <f aca="false">IF(COUNTIFS('Auction Log'!$B$5:$B$304,A213,'Auction Log'!$D$5:$D$304,"&lt;&gt;",'Auction Log'!$E$5:$E$304,"&gt;0")=0,"",IFERROR(INDEX('Auction Log'!$E$5:$E$304,MATCH(1,('Auction Log'!$B$5:$B$304=A213)*('Auction Log'!$D$5:$D$304&lt;&gt;"")*('Auction Log'!$E$5:$E$304&gt;0),0)),""))</f>
        <v/>
      </c>
      <c r="F213" s="18" t="s">
        <v>148</v>
      </c>
      <c r="G213" s="18" t="s">
        <v>30</v>
      </c>
      <c r="H213" s="18" t="n">
        <v>13</v>
      </c>
      <c r="I213" s="18" t="n">
        <v>210</v>
      </c>
      <c r="J213" s="18" t="n">
        <v>11</v>
      </c>
      <c r="K213" s="36"/>
      <c r="L213" s="36" t="n">
        <v>154</v>
      </c>
      <c r="M213" s="19" t="n">
        <v>2</v>
      </c>
      <c r="N213" s="19" t="n">
        <v>0</v>
      </c>
      <c r="O213" s="19" t="n">
        <v>0</v>
      </c>
      <c r="P213" s="19" t="n">
        <v>0</v>
      </c>
      <c r="Q213" s="19" t="n">
        <v>0</v>
      </c>
      <c r="R213" s="19" t="n">
        <v>1</v>
      </c>
      <c r="S213" s="19" t="n">
        <v>1</v>
      </c>
      <c r="T213" s="18" t="s">
        <v>291</v>
      </c>
      <c r="U213" s="32"/>
      <c r="V213" s="19" t="str">
        <f aca="false">IF(E213="","",R213-E213)</f>
        <v/>
      </c>
      <c r="W213" s="18" t="s">
        <v>98</v>
      </c>
      <c r="X213" s="4" t="n">
        <f aca="false">IF(AND(D213="Available",R213&gt;=55),ROW(),9999)</f>
        <v>9999</v>
      </c>
      <c r="Y213" s="4" t="n">
        <f aca="false">IF(AND(D213="Available",R213&gt;=40,R213&lt;55),ROW(),9999)</f>
        <v>9999</v>
      </c>
      <c r="Z213" s="4" t="n">
        <f aca="false">IF(AND(D213="Available",R213&gt;=25,R213&lt;40),ROW(),9999)</f>
        <v>9999</v>
      </c>
      <c r="AA213" s="35" t="str">
        <f aca="false">IF(K213="","",IF(L213="",K213,ROUND(AVERAGE(K213,L213),0)))</f>
        <v/>
      </c>
    </row>
    <row r="214" customFormat="false" ht="15" hidden="false" customHeight="false" outlineLevel="0" collapsed="false">
      <c r="A214" s="18" t="s">
        <v>367</v>
      </c>
      <c r="B214" s="19" t="n">
        <f aca="false">R214-N214</f>
        <v>1</v>
      </c>
      <c r="C214" s="18" t="str">
        <f aca="false">IF(B214&gt;=5,"SMASH BUY",IF(B214&gt;=2,"BUY",IF(B214&gt;=-1,"NEUTRAL",IF(B214&gt;=-4,"AVOID","DO NOT BID"))))</f>
        <v>NEUTRAL</v>
      </c>
      <c r="D214" s="18" t="str">
        <f aca="false">IF(COUNTIFS('Auction Log'!$B$5:$B$304,A214,'Auction Log'!$D$5:$D$304,"&lt;&gt;",'Auction Log'!$E$5:$E$304,"&gt;0")=0,"Available",IFERROR(INDEX('Auction Log'!$D$5:$D$304,MATCH(1,('Auction Log'!$B$5:$B$304=A214)*('Auction Log'!$D$5:$D$304&lt;&gt;"")*('Auction Log'!$E$5:$E$304&gt;0),0)),"SOLD"))</f>
        <v>Available</v>
      </c>
      <c r="E214" s="19" t="str">
        <f aca="false">IF(COUNTIFS('Auction Log'!$B$5:$B$304,A214,'Auction Log'!$D$5:$D$304,"&lt;&gt;",'Auction Log'!$E$5:$E$304,"&gt;0")=0,"",IFERROR(INDEX('Auction Log'!$E$5:$E$304,MATCH(1,('Auction Log'!$B$5:$B$304=A214)*('Auction Log'!$D$5:$D$304&lt;&gt;"")*('Auction Log'!$E$5:$E$304&gt;0),0)),""))</f>
        <v/>
      </c>
      <c r="F214" s="18" t="s">
        <v>148</v>
      </c>
      <c r="G214" s="18" t="s">
        <v>16</v>
      </c>
      <c r="H214" s="18" t="n">
        <v>13</v>
      </c>
      <c r="I214" s="18" t="n">
        <v>212</v>
      </c>
      <c r="J214" s="18" t="n">
        <v>11</v>
      </c>
      <c r="K214" s="36"/>
      <c r="L214" s="36" t="n">
        <v>232</v>
      </c>
      <c r="M214" s="19" t="n">
        <v>0</v>
      </c>
      <c r="N214" s="19" t="n">
        <v>0</v>
      </c>
      <c r="O214" s="19" t="n">
        <v>0</v>
      </c>
      <c r="P214" s="19" t="n">
        <v>0</v>
      </c>
      <c r="Q214" s="19" t="n">
        <v>0</v>
      </c>
      <c r="R214" s="19" t="n">
        <v>1</v>
      </c>
      <c r="S214" s="19" t="n">
        <v>1</v>
      </c>
      <c r="T214" s="18" t="s">
        <v>291</v>
      </c>
      <c r="U214" s="32"/>
      <c r="V214" s="19" t="str">
        <f aca="false">IF(E214="","",R214-E214)</f>
        <v/>
      </c>
      <c r="W214" s="18" t="s">
        <v>98</v>
      </c>
      <c r="X214" s="4" t="n">
        <f aca="false">IF(AND(D214="Available",R214&gt;=55),ROW(),9999)</f>
        <v>9999</v>
      </c>
      <c r="Y214" s="4" t="n">
        <f aca="false">IF(AND(D214="Available",R214&gt;=40,R214&lt;55),ROW(),9999)</f>
        <v>9999</v>
      </c>
      <c r="Z214" s="4" t="n">
        <f aca="false">IF(AND(D214="Available",R214&gt;=25,R214&lt;40),ROW(),9999)</f>
        <v>9999</v>
      </c>
      <c r="AA214" s="35" t="str">
        <f aca="false">IF(K214="","",IF(L214="",K214,ROUND(AVERAGE(K214,L214),0)))</f>
        <v/>
      </c>
    </row>
    <row r="215" customFormat="false" ht="15" hidden="false" customHeight="false" outlineLevel="0" collapsed="false">
      <c r="A215" s="18" t="s">
        <v>368</v>
      </c>
      <c r="B215" s="19" t="n">
        <f aca="false">R215-N215</f>
        <v>1</v>
      </c>
      <c r="C215" s="18" t="str">
        <f aca="false">IF(B215&gt;=5,"SMASH BUY",IF(B215&gt;=2,"BUY",IF(B215&gt;=-1,"NEUTRAL",IF(B215&gt;=-4,"AVOID","DO NOT BID"))))</f>
        <v>NEUTRAL</v>
      </c>
      <c r="D215" s="18" t="str">
        <f aca="false">IF(COUNTIFS('Auction Log'!$B$5:$B$304,A215,'Auction Log'!$D$5:$D$304,"&lt;&gt;",'Auction Log'!$E$5:$E$304,"&gt;0")=0,"Available",IFERROR(INDEX('Auction Log'!$D$5:$D$304,MATCH(1,('Auction Log'!$B$5:$B$304=A215)*('Auction Log'!$D$5:$D$304&lt;&gt;"")*('Auction Log'!$E$5:$E$304&gt;0),0)),"SOLD"))</f>
        <v>Available</v>
      </c>
      <c r="E215" s="19" t="str">
        <f aca="false">IF(COUNTIFS('Auction Log'!$B$5:$B$304,A215,'Auction Log'!$D$5:$D$304,"&lt;&gt;",'Auction Log'!$E$5:$E$304,"&gt;0")=0,"",IFERROR(INDEX('Auction Log'!$E$5:$E$304,MATCH(1,('Auction Log'!$B$5:$B$304=A215)*('Auction Log'!$D$5:$D$304&lt;&gt;"")*('Auction Log'!$E$5:$E$304&gt;0),0)),""))</f>
        <v/>
      </c>
      <c r="F215" s="18" t="s">
        <v>204</v>
      </c>
      <c r="G215" s="18" t="s">
        <v>16</v>
      </c>
      <c r="H215" s="18" t="n">
        <v>9</v>
      </c>
      <c r="I215" s="18" t="n">
        <v>213</v>
      </c>
      <c r="J215" s="18" t="n">
        <v>11</v>
      </c>
      <c r="K215" s="36"/>
      <c r="L215" s="36" t="n">
        <v>219</v>
      </c>
      <c r="M215" s="19" t="n">
        <v>0</v>
      </c>
      <c r="N215" s="19" t="n">
        <v>0</v>
      </c>
      <c r="O215" s="19" t="n">
        <v>0</v>
      </c>
      <c r="P215" s="19" t="n">
        <v>0</v>
      </c>
      <c r="Q215" s="19" t="n">
        <v>0</v>
      </c>
      <c r="R215" s="19" t="n">
        <v>1</v>
      </c>
      <c r="S215" s="19" t="n">
        <v>1</v>
      </c>
      <c r="T215" s="18" t="s">
        <v>291</v>
      </c>
      <c r="U215" s="32"/>
      <c r="V215" s="19" t="str">
        <f aca="false">IF(E215="","",R215-E215)</f>
        <v/>
      </c>
      <c r="W215" s="18" t="s">
        <v>128</v>
      </c>
      <c r="X215" s="4" t="n">
        <f aca="false">IF(AND(D215="Available",R215&gt;=55),ROW(),9999)</f>
        <v>9999</v>
      </c>
      <c r="Y215" s="4" t="n">
        <f aca="false">IF(AND(D215="Available",R215&gt;=40,R215&lt;55),ROW(),9999)</f>
        <v>9999</v>
      </c>
      <c r="Z215" s="4" t="n">
        <f aca="false">IF(AND(D215="Available",R215&gt;=25,R215&lt;40),ROW(),9999)</f>
        <v>9999</v>
      </c>
      <c r="AA215" s="35" t="str">
        <f aca="false">IF(K215="","",IF(L215="",K215,ROUND(AVERAGE(K215,L215),0)))</f>
        <v/>
      </c>
    </row>
    <row r="216" customFormat="false" ht="15" hidden="false" customHeight="false" outlineLevel="0" collapsed="false">
      <c r="A216" s="18" t="s">
        <v>369</v>
      </c>
      <c r="B216" s="19" t="n">
        <f aca="false">R216-N216</f>
        <v>1</v>
      </c>
      <c r="C216" s="18" t="str">
        <f aca="false">IF(B216&gt;=5,"SMASH BUY",IF(B216&gt;=2,"BUY",IF(B216&gt;=-1,"NEUTRAL",IF(B216&gt;=-4,"AVOID","DO NOT BID"))))</f>
        <v>NEUTRAL</v>
      </c>
      <c r="D216" s="18" t="str">
        <f aca="false">IF(COUNTIFS('Auction Log'!$B$5:$B$304,A216,'Auction Log'!$D$5:$D$304,"&lt;&gt;",'Auction Log'!$E$5:$E$304,"&gt;0")=0,"Available",IFERROR(INDEX('Auction Log'!$D$5:$D$304,MATCH(1,('Auction Log'!$B$5:$B$304=A216)*('Auction Log'!$D$5:$D$304&lt;&gt;"")*('Auction Log'!$E$5:$E$304&gt;0),0)),"SOLD"))</f>
        <v>Available</v>
      </c>
      <c r="E216" s="19" t="str">
        <f aca="false">IF(COUNTIFS('Auction Log'!$B$5:$B$304,A216,'Auction Log'!$D$5:$D$304,"&lt;&gt;",'Auction Log'!$E$5:$E$304,"&gt;0")=0,"",IFERROR(INDEX('Auction Log'!$E$5:$E$304,MATCH(1,('Auction Log'!$B$5:$B$304=A216)*('Auction Log'!$D$5:$D$304&lt;&gt;"")*('Auction Log'!$E$5:$E$304&gt;0),0)),""))</f>
        <v/>
      </c>
      <c r="F216" s="18" t="s">
        <v>96</v>
      </c>
      <c r="G216" s="18" t="s">
        <v>26</v>
      </c>
      <c r="H216" s="18" t="n">
        <v>6</v>
      </c>
      <c r="I216" s="18" t="n">
        <v>215</v>
      </c>
      <c r="J216" s="18" t="n">
        <v>11</v>
      </c>
      <c r="K216" s="36"/>
      <c r="L216" s="36" t="n">
        <v>73</v>
      </c>
      <c r="M216" s="19" t="n">
        <v>0</v>
      </c>
      <c r="N216" s="19" t="n">
        <v>0</v>
      </c>
      <c r="O216" s="19" t="n">
        <v>0</v>
      </c>
      <c r="P216" s="19" t="n">
        <v>0</v>
      </c>
      <c r="Q216" s="19" t="n">
        <v>0</v>
      </c>
      <c r="R216" s="19" t="n">
        <v>1</v>
      </c>
      <c r="S216" s="19" t="n">
        <v>1</v>
      </c>
      <c r="T216" s="18" t="s">
        <v>291</v>
      </c>
      <c r="U216" s="32"/>
      <c r="V216" s="19" t="str">
        <f aca="false">IF(E216="","",R216-E216)</f>
        <v/>
      </c>
      <c r="W216" s="18" t="s">
        <v>128</v>
      </c>
      <c r="X216" s="4" t="n">
        <f aca="false">IF(AND(D216="Available",R216&gt;=55),ROW(),9999)</f>
        <v>9999</v>
      </c>
      <c r="Y216" s="4" t="n">
        <f aca="false">IF(AND(D216="Available",R216&gt;=40,R216&lt;55),ROW(),9999)</f>
        <v>9999</v>
      </c>
      <c r="Z216" s="4" t="n">
        <f aca="false">IF(AND(D216="Available",R216&gt;=25,R216&lt;40),ROW(),9999)</f>
        <v>9999</v>
      </c>
      <c r="AA216" s="35" t="str">
        <f aca="false">IF(K216="","",IF(L216="",K216,ROUND(AVERAGE(K216,L216),0)))</f>
        <v/>
      </c>
    </row>
    <row r="217" customFormat="false" ht="15" hidden="false" customHeight="false" outlineLevel="0" collapsed="false">
      <c r="A217" s="18" t="s">
        <v>370</v>
      </c>
      <c r="B217" s="19" t="n">
        <f aca="false">R217-N217</f>
        <v>1</v>
      </c>
      <c r="C217" s="18" t="str">
        <f aca="false">IF(B217&gt;=5,"SMASH BUY",IF(B217&gt;=2,"BUY",IF(B217&gt;=-1,"NEUTRAL",IF(B217&gt;=-4,"AVOID","DO NOT BID"))))</f>
        <v>NEUTRAL</v>
      </c>
      <c r="D217" s="18" t="str">
        <f aca="false">IF(COUNTIFS('Auction Log'!$B$5:$B$304,A217,'Auction Log'!$D$5:$D$304,"&lt;&gt;",'Auction Log'!$E$5:$E$304,"&gt;0")=0,"Available",IFERROR(INDEX('Auction Log'!$D$5:$D$304,MATCH(1,('Auction Log'!$B$5:$B$304=A217)*('Auction Log'!$D$5:$D$304&lt;&gt;"")*('Auction Log'!$E$5:$E$304&gt;0),0)),"SOLD"))</f>
        <v>Available</v>
      </c>
      <c r="E217" s="19" t="str">
        <f aca="false">IF(COUNTIFS('Auction Log'!$B$5:$B$304,A217,'Auction Log'!$D$5:$D$304,"&lt;&gt;",'Auction Log'!$E$5:$E$304,"&gt;0")=0,"",IFERROR(INDEX('Auction Log'!$E$5:$E$304,MATCH(1,('Auction Log'!$B$5:$B$304=A217)*('Auction Log'!$D$5:$D$304&lt;&gt;"")*('Auction Log'!$E$5:$E$304&gt;0),0)),""))</f>
        <v/>
      </c>
      <c r="F217" s="18" t="s">
        <v>171</v>
      </c>
      <c r="G217" s="18" t="s">
        <v>26</v>
      </c>
      <c r="H217" s="18" t="n">
        <v>10</v>
      </c>
      <c r="I217" s="18" t="n">
        <v>216</v>
      </c>
      <c r="J217" s="18" t="n">
        <v>11</v>
      </c>
      <c r="K217" s="36"/>
      <c r="L217" s="36" t="n">
        <v>51</v>
      </c>
      <c r="M217" s="19" t="n">
        <v>0</v>
      </c>
      <c r="N217" s="19" t="n">
        <v>0</v>
      </c>
      <c r="O217" s="19" t="n">
        <v>0</v>
      </c>
      <c r="P217" s="19" t="n">
        <v>0</v>
      </c>
      <c r="Q217" s="19" t="n">
        <v>0</v>
      </c>
      <c r="R217" s="19" t="n">
        <v>1</v>
      </c>
      <c r="S217" s="19" t="n">
        <v>1</v>
      </c>
      <c r="T217" s="18" t="s">
        <v>291</v>
      </c>
      <c r="U217" s="32"/>
      <c r="V217" s="19" t="str">
        <f aca="false">IF(E217="","",R217-E217)</f>
        <v/>
      </c>
      <c r="W217" s="18" t="s">
        <v>128</v>
      </c>
      <c r="X217" s="4" t="n">
        <f aca="false">IF(AND(D217="Available",R217&gt;=55),ROW(),9999)</f>
        <v>9999</v>
      </c>
      <c r="Y217" s="4" t="n">
        <f aca="false">IF(AND(D217="Available",R217&gt;=40,R217&lt;55),ROW(),9999)</f>
        <v>9999</v>
      </c>
      <c r="Z217" s="4" t="n">
        <f aca="false">IF(AND(D217="Available",R217&gt;=25,R217&lt;40),ROW(),9999)</f>
        <v>9999</v>
      </c>
      <c r="AA217" s="35" t="str">
        <f aca="false">IF(K217="","",IF(L217="",K217,ROUND(AVERAGE(K217,L217),0)))</f>
        <v/>
      </c>
    </row>
    <row r="218" customFormat="false" ht="15" hidden="false" customHeight="false" outlineLevel="0" collapsed="false">
      <c r="A218" s="18" t="s">
        <v>371</v>
      </c>
      <c r="B218" s="19" t="n">
        <f aca="false">R218-N218</f>
        <v>1</v>
      </c>
      <c r="C218" s="18" t="str">
        <f aca="false">IF(B218&gt;=5,"SMASH BUY",IF(B218&gt;=2,"BUY",IF(B218&gt;=-1,"NEUTRAL",IF(B218&gt;=-4,"AVOID","DO NOT BID"))))</f>
        <v>NEUTRAL</v>
      </c>
      <c r="D218" s="18" t="str">
        <f aca="false">IF(COUNTIFS('Auction Log'!$B$5:$B$304,A218,'Auction Log'!$D$5:$D$304,"&lt;&gt;",'Auction Log'!$E$5:$E$304,"&gt;0")=0,"Available",IFERROR(INDEX('Auction Log'!$D$5:$D$304,MATCH(1,('Auction Log'!$B$5:$B$304=A218)*('Auction Log'!$D$5:$D$304&lt;&gt;"")*('Auction Log'!$E$5:$E$304&gt;0),0)),"SOLD"))</f>
        <v>Available</v>
      </c>
      <c r="E218" s="19" t="str">
        <f aca="false">IF(COUNTIFS('Auction Log'!$B$5:$B$304,A218,'Auction Log'!$D$5:$D$304,"&lt;&gt;",'Auction Log'!$E$5:$E$304,"&gt;0")=0,"",IFERROR(INDEX('Auction Log'!$E$5:$E$304,MATCH(1,('Auction Log'!$B$5:$B$304=A218)*('Auction Log'!$D$5:$D$304&lt;&gt;"")*('Auction Log'!$E$5:$E$304&gt;0),0)),""))</f>
        <v/>
      </c>
      <c r="F218" s="18" t="s">
        <v>150</v>
      </c>
      <c r="G218" s="18" t="s">
        <v>26</v>
      </c>
      <c r="H218" s="18" t="n">
        <v>8</v>
      </c>
      <c r="I218" s="18" t="n">
        <v>217</v>
      </c>
      <c r="J218" s="18" t="n">
        <v>11</v>
      </c>
      <c r="K218" s="36"/>
      <c r="L218" s="36" t="n">
        <v>64</v>
      </c>
      <c r="M218" s="19" t="n">
        <v>0</v>
      </c>
      <c r="N218" s="19" t="n">
        <v>0</v>
      </c>
      <c r="O218" s="19" t="n">
        <v>0</v>
      </c>
      <c r="P218" s="19" t="n">
        <v>0</v>
      </c>
      <c r="Q218" s="19" t="n">
        <v>0</v>
      </c>
      <c r="R218" s="19" t="n">
        <v>1</v>
      </c>
      <c r="S218" s="19" t="n">
        <v>1</v>
      </c>
      <c r="T218" s="18" t="s">
        <v>291</v>
      </c>
      <c r="U218" s="32"/>
      <c r="V218" s="19" t="str">
        <f aca="false">IF(E218="","",R218-E218)</f>
        <v/>
      </c>
      <c r="W218" s="18" t="s">
        <v>128</v>
      </c>
      <c r="X218" s="4" t="n">
        <f aca="false">IF(AND(D218="Available",R218&gt;=55),ROW(),9999)</f>
        <v>9999</v>
      </c>
      <c r="Y218" s="4" t="n">
        <f aca="false">IF(AND(D218="Available",R218&gt;=40,R218&lt;55),ROW(),9999)</f>
        <v>9999</v>
      </c>
      <c r="Z218" s="4" t="n">
        <f aca="false">IF(AND(D218="Available",R218&gt;=25,R218&lt;40),ROW(),9999)</f>
        <v>9999</v>
      </c>
      <c r="AA218" s="35" t="str">
        <f aca="false">IF(K218="","",IF(L218="",K218,ROUND(AVERAGE(K218,L218),0)))</f>
        <v/>
      </c>
    </row>
    <row r="219" customFormat="false" ht="15" hidden="false" customHeight="false" outlineLevel="0" collapsed="false">
      <c r="A219" s="18" t="s">
        <v>372</v>
      </c>
      <c r="B219" s="19" t="n">
        <f aca="false">R219-N219</f>
        <v>0</v>
      </c>
      <c r="C219" s="18" t="str">
        <f aca="false">IF(B219&gt;=5,"SMASH BUY",IF(B219&gt;=2,"BUY",IF(B219&gt;=-1,"NEUTRAL",IF(B219&gt;=-4,"AVOID","DO NOT BID"))))</f>
        <v>NEUTRAL</v>
      </c>
      <c r="D219" s="18" t="str">
        <f aca="false">IF(COUNTIFS('Auction Log'!$B$5:$B$304,A219,'Auction Log'!$D$5:$D$304,"&lt;&gt;",'Auction Log'!$E$5:$E$304,"&gt;0")=0,"Available",IFERROR(INDEX('Auction Log'!$D$5:$D$304,MATCH(1,('Auction Log'!$B$5:$B$304=A219)*('Auction Log'!$D$5:$D$304&lt;&gt;"")*('Auction Log'!$E$5:$E$304&gt;0),0)),"SOLD"))</f>
        <v>Available</v>
      </c>
      <c r="E219" s="19" t="str">
        <f aca="false">IF(COUNTIFS('Auction Log'!$B$5:$B$304,A219,'Auction Log'!$D$5:$D$304,"&lt;&gt;",'Auction Log'!$E$5:$E$304,"&gt;0")=0,"",IFERROR(INDEX('Auction Log'!$E$5:$E$304,MATCH(1,('Auction Log'!$B$5:$B$304=A219)*('Auction Log'!$D$5:$D$304&lt;&gt;"")*('Auction Log'!$E$5:$E$304&gt;0),0)),""))</f>
        <v/>
      </c>
      <c r="F219" s="18" t="s">
        <v>96</v>
      </c>
      <c r="G219" s="18" t="s">
        <v>37</v>
      </c>
      <c r="H219" s="18" t="n">
        <v>6</v>
      </c>
      <c r="I219" s="18" t="n">
        <v>218</v>
      </c>
      <c r="J219" s="18" t="n">
        <v>11</v>
      </c>
      <c r="K219" s="36" t="n">
        <v>136</v>
      </c>
      <c r="L219" s="36"/>
      <c r="M219" s="19" t="n">
        <v>0</v>
      </c>
      <c r="N219" s="19" t="n">
        <v>1</v>
      </c>
      <c r="O219" s="19" t="n">
        <v>-2</v>
      </c>
      <c r="P219" s="19" t="n">
        <v>0</v>
      </c>
      <c r="Q219" s="19" t="n">
        <v>0</v>
      </c>
      <c r="R219" s="19" t="n">
        <v>1</v>
      </c>
      <c r="S219" s="19" t="n">
        <v>1</v>
      </c>
      <c r="T219" s="18" t="s">
        <v>291</v>
      </c>
      <c r="U219" s="32"/>
      <c r="V219" s="19" t="str">
        <f aca="false">IF(E219="","",R219-E219)</f>
        <v/>
      </c>
      <c r="W219" s="18" t="s">
        <v>128</v>
      </c>
      <c r="X219" s="4" t="n">
        <f aca="false">IF(AND(D219="Available",R219&gt;=55),ROW(),9999)</f>
        <v>9999</v>
      </c>
      <c r="Y219" s="4" t="n">
        <f aca="false">IF(AND(D219="Available",R219&gt;=40,R219&lt;55),ROW(),9999)</f>
        <v>9999</v>
      </c>
      <c r="Z219" s="4" t="n">
        <f aca="false">IF(AND(D219="Available",R219&gt;=25,R219&lt;40),ROW(),9999)</f>
        <v>9999</v>
      </c>
      <c r="AA219" s="35" t="n">
        <f aca="false">IF(K219="","",IF(L219="",K219,ROUND(AVERAGE(K219,L219),0)))</f>
        <v>136</v>
      </c>
    </row>
    <row r="220" customFormat="false" ht="15" hidden="false" customHeight="false" outlineLevel="0" collapsed="false">
      <c r="A220" s="18" t="s">
        <v>373</v>
      </c>
      <c r="B220" s="19" t="n">
        <f aca="false">R220-N220</f>
        <v>-2</v>
      </c>
      <c r="C220" s="18" t="str">
        <f aca="false">IF(B220&gt;=5,"SMASH BUY",IF(B220&gt;=2,"BUY",IF(B220&gt;=-1,"NEUTRAL",IF(B220&gt;=-4,"AVOID","DO NOT BID"))))</f>
        <v>AVOID</v>
      </c>
      <c r="D220" s="18" t="str">
        <f aca="false">IF(COUNTIFS('Auction Log'!$B$5:$B$304,A220,'Auction Log'!$D$5:$D$304,"&lt;&gt;",'Auction Log'!$E$5:$E$304,"&gt;0")=0,"Available",IFERROR(INDEX('Auction Log'!$D$5:$D$304,MATCH(1,('Auction Log'!$B$5:$B$304=A220)*('Auction Log'!$D$5:$D$304&lt;&gt;"")*('Auction Log'!$E$5:$E$304&gt;0),0)),"SOLD"))</f>
        <v>Available</v>
      </c>
      <c r="E220" s="19" t="str">
        <f aca="false">IF(COUNTIFS('Auction Log'!$B$5:$B$304,A220,'Auction Log'!$D$5:$D$304,"&lt;&gt;",'Auction Log'!$E$5:$E$304,"&gt;0")=0,"",IFERROR(INDEX('Auction Log'!$E$5:$E$304,MATCH(1,('Auction Log'!$B$5:$B$304=A220)*('Auction Log'!$D$5:$D$304&lt;&gt;"")*('Auction Log'!$E$5:$E$304&gt;0),0)),""))</f>
        <v/>
      </c>
      <c r="F220" s="18" t="s">
        <v>132</v>
      </c>
      <c r="G220" s="18" t="s">
        <v>26</v>
      </c>
      <c r="H220" s="18" t="n">
        <v>13</v>
      </c>
      <c r="I220" s="18" t="n">
        <v>219</v>
      </c>
      <c r="J220" s="18" t="n">
        <v>11</v>
      </c>
      <c r="K220" s="36" t="n">
        <v>134</v>
      </c>
      <c r="L220" s="36" t="n">
        <v>122</v>
      </c>
      <c r="M220" s="19" t="n">
        <v>0</v>
      </c>
      <c r="N220" s="19" t="n">
        <v>3</v>
      </c>
      <c r="O220" s="19" t="n">
        <v>-3</v>
      </c>
      <c r="P220" s="19" t="n">
        <v>-1</v>
      </c>
      <c r="Q220" s="19" t="n">
        <v>0</v>
      </c>
      <c r="R220" s="19" t="n">
        <v>1</v>
      </c>
      <c r="S220" s="19" t="n">
        <v>1</v>
      </c>
      <c r="T220" s="18" t="s">
        <v>291</v>
      </c>
      <c r="U220" s="32"/>
      <c r="V220" s="19" t="str">
        <f aca="false">IF(E220="","",R220-E220)</f>
        <v/>
      </c>
      <c r="W220" s="18" t="s">
        <v>128</v>
      </c>
      <c r="X220" s="4" t="n">
        <f aca="false">IF(AND(D220="Available",R220&gt;=55),ROW(),9999)</f>
        <v>9999</v>
      </c>
      <c r="Y220" s="4" t="n">
        <f aca="false">IF(AND(D220="Available",R220&gt;=40,R220&lt;55),ROW(),9999)</f>
        <v>9999</v>
      </c>
      <c r="Z220" s="4" t="n">
        <f aca="false">IF(AND(D220="Available",R220&gt;=25,R220&lt;40),ROW(),9999)</f>
        <v>9999</v>
      </c>
      <c r="AA220" s="35" t="n">
        <f aca="false">IF(K220="","",IF(L220="",K220,ROUND(AVERAGE(K220,L220),0)))</f>
        <v>128</v>
      </c>
    </row>
    <row r="221" customFormat="false" ht="15" hidden="false" customHeight="false" outlineLevel="0" collapsed="false">
      <c r="A221" s="18" t="s">
        <v>374</v>
      </c>
      <c r="B221" s="19" t="n">
        <f aca="false">R221-N221</f>
        <v>0</v>
      </c>
      <c r="C221" s="18" t="str">
        <f aca="false">IF(B221&gt;=5,"SMASH BUY",IF(B221&gt;=2,"BUY",IF(B221&gt;=-1,"NEUTRAL",IF(B221&gt;=-4,"AVOID","DO NOT BID"))))</f>
        <v>NEUTRAL</v>
      </c>
      <c r="D221" s="18" t="str">
        <f aca="false">IF(COUNTIFS('Auction Log'!$B$5:$B$304,A221,'Auction Log'!$D$5:$D$304,"&lt;&gt;",'Auction Log'!$E$5:$E$304,"&gt;0")=0,"Available",IFERROR(INDEX('Auction Log'!$D$5:$D$304,MATCH(1,('Auction Log'!$B$5:$B$304=A221)*('Auction Log'!$D$5:$D$304&lt;&gt;"")*('Auction Log'!$E$5:$E$304&gt;0),0)),"SOLD"))</f>
        <v>Available</v>
      </c>
      <c r="E221" s="19" t="str">
        <f aca="false">IF(COUNTIFS('Auction Log'!$B$5:$B$304,A221,'Auction Log'!$D$5:$D$304,"&lt;&gt;",'Auction Log'!$E$5:$E$304,"&gt;0")=0,"",IFERROR(INDEX('Auction Log'!$E$5:$E$304,MATCH(1,('Auction Log'!$B$5:$B$304=A221)*('Auction Log'!$D$5:$D$304&lt;&gt;"")*('Auction Log'!$E$5:$E$304&gt;0),0)),""))</f>
        <v/>
      </c>
      <c r="F221" s="18" t="s">
        <v>180</v>
      </c>
      <c r="G221" s="18" t="s">
        <v>37</v>
      </c>
      <c r="H221" s="18" t="n">
        <v>10</v>
      </c>
      <c r="I221" s="18" t="n">
        <v>220</v>
      </c>
      <c r="J221" s="18" t="n">
        <v>11</v>
      </c>
      <c r="K221" s="36" t="n">
        <v>133</v>
      </c>
      <c r="L221" s="36"/>
      <c r="M221" s="19" t="n">
        <v>0</v>
      </c>
      <c r="N221" s="19" t="n">
        <v>1</v>
      </c>
      <c r="O221" s="19" t="n">
        <v>-2</v>
      </c>
      <c r="P221" s="19" t="n">
        <v>0</v>
      </c>
      <c r="Q221" s="19" t="n">
        <v>0</v>
      </c>
      <c r="R221" s="19" t="n">
        <v>1</v>
      </c>
      <c r="S221" s="19" t="n">
        <v>1</v>
      </c>
      <c r="T221" s="18" t="s">
        <v>291</v>
      </c>
      <c r="U221" s="32"/>
      <c r="V221" s="19" t="str">
        <f aca="false">IF(E221="","",R221-E221)</f>
        <v/>
      </c>
      <c r="W221" s="18" t="s">
        <v>128</v>
      </c>
      <c r="X221" s="4" t="n">
        <f aca="false">IF(AND(D221="Available",R221&gt;=55),ROW(),9999)</f>
        <v>9999</v>
      </c>
      <c r="Y221" s="4" t="n">
        <f aca="false">IF(AND(D221="Available",R221&gt;=40,R221&lt;55),ROW(),9999)</f>
        <v>9999</v>
      </c>
      <c r="Z221" s="4" t="n">
        <f aca="false">IF(AND(D221="Available",R221&gt;=25,R221&lt;40),ROW(),9999)</f>
        <v>9999</v>
      </c>
      <c r="AA221" s="35" t="n">
        <f aca="false">IF(K221="","",IF(L221="",K221,ROUND(AVERAGE(K221,L221),0)))</f>
        <v>133</v>
      </c>
    </row>
    <row r="222" customFormat="false" ht="15" hidden="false" customHeight="false" outlineLevel="0" collapsed="false">
      <c r="A222" s="18" t="s">
        <v>375</v>
      </c>
      <c r="B222" s="19" t="n">
        <f aca="false">R222-N222</f>
        <v>-1</v>
      </c>
      <c r="C222" s="18" t="str">
        <f aca="false">IF(B222&gt;=5,"SMASH BUY",IF(B222&gt;=2,"BUY",IF(B222&gt;=-1,"NEUTRAL",IF(B222&gt;=-4,"AVOID","DO NOT BID"))))</f>
        <v>NEUTRAL</v>
      </c>
      <c r="D222" s="18" t="str">
        <f aca="false">IF(COUNTIFS('Auction Log'!$B$5:$B$304,A222,'Auction Log'!$D$5:$D$304,"&lt;&gt;",'Auction Log'!$E$5:$E$304,"&gt;0")=0,"Available",IFERROR(INDEX('Auction Log'!$D$5:$D$304,MATCH(1,('Auction Log'!$B$5:$B$304=A222)*('Auction Log'!$D$5:$D$304&lt;&gt;"")*('Auction Log'!$E$5:$E$304&gt;0),0)),"SOLD"))</f>
        <v>Available</v>
      </c>
      <c r="E222" s="19" t="str">
        <f aca="false">IF(COUNTIFS('Auction Log'!$B$5:$B$304,A222,'Auction Log'!$D$5:$D$304,"&lt;&gt;",'Auction Log'!$E$5:$E$304,"&gt;0")=0,"",IFERROR(INDEX('Auction Log'!$E$5:$E$304,MATCH(1,('Auction Log'!$B$5:$B$304=A222)*('Auction Log'!$D$5:$D$304&lt;&gt;"")*('Auction Log'!$E$5:$E$304&gt;0),0)),""))</f>
        <v/>
      </c>
      <c r="F222" s="18" t="s">
        <v>104</v>
      </c>
      <c r="G222" s="18" t="s">
        <v>26</v>
      </c>
      <c r="H222" s="18" t="n">
        <v>11</v>
      </c>
      <c r="I222" s="18" t="n">
        <v>221</v>
      </c>
      <c r="J222" s="18" t="n">
        <v>11</v>
      </c>
      <c r="K222" s="36" t="n">
        <v>125</v>
      </c>
      <c r="L222" s="36" t="n">
        <v>102</v>
      </c>
      <c r="M222" s="19" t="n">
        <v>0</v>
      </c>
      <c r="N222" s="19" t="n">
        <v>2</v>
      </c>
      <c r="O222" s="19" t="n">
        <v>-3</v>
      </c>
      <c r="P222" s="19" t="n">
        <v>-1</v>
      </c>
      <c r="Q222" s="19" t="n">
        <v>0</v>
      </c>
      <c r="R222" s="19" t="n">
        <v>1</v>
      </c>
      <c r="S222" s="19" t="n">
        <v>1</v>
      </c>
      <c r="T222" s="18" t="s">
        <v>291</v>
      </c>
      <c r="U222" s="32"/>
      <c r="V222" s="19" t="str">
        <f aca="false">IF(E222="","",R222-E222)</f>
        <v/>
      </c>
      <c r="W222" s="18" t="s">
        <v>128</v>
      </c>
      <c r="X222" s="4" t="n">
        <f aca="false">IF(AND(D222="Available",R222&gt;=55),ROW(),9999)</f>
        <v>9999</v>
      </c>
      <c r="Y222" s="4" t="n">
        <f aca="false">IF(AND(D222="Available",R222&gt;=40,R222&lt;55),ROW(),9999)</f>
        <v>9999</v>
      </c>
      <c r="Z222" s="4" t="n">
        <f aca="false">IF(AND(D222="Available",R222&gt;=25,R222&lt;40),ROW(),9999)</f>
        <v>9999</v>
      </c>
      <c r="AA222" s="35" t="n">
        <f aca="false">IF(K222="","",IF(L222="",K222,ROUND(AVERAGE(K222,L222),0)))</f>
        <v>114</v>
      </c>
    </row>
    <row r="223" customFormat="false" ht="15" hidden="false" customHeight="false" outlineLevel="0" collapsed="false">
      <c r="A223" s="18" t="s">
        <v>376</v>
      </c>
      <c r="B223" s="19" t="n">
        <f aca="false">R223-N223</f>
        <v>1</v>
      </c>
      <c r="C223" s="18" t="str">
        <f aca="false">IF(B223&gt;=5,"SMASH BUY",IF(B223&gt;=2,"BUY",IF(B223&gt;=-1,"NEUTRAL",IF(B223&gt;=-4,"AVOID","DO NOT BID"))))</f>
        <v>NEUTRAL</v>
      </c>
      <c r="D223" s="18" t="str">
        <f aca="false">IF(COUNTIFS('Auction Log'!$B$5:$B$304,A223,'Auction Log'!$D$5:$D$304,"&lt;&gt;",'Auction Log'!$E$5:$E$304,"&gt;0")=0,"Available",IFERROR(INDEX('Auction Log'!$D$5:$D$304,MATCH(1,('Auction Log'!$B$5:$B$304=A223)*('Auction Log'!$D$5:$D$304&lt;&gt;"")*('Auction Log'!$E$5:$E$304&gt;0),0)),"SOLD"))</f>
        <v>Available</v>
      </c>
      <c r="E223" s="19" t="str">
        <f aca="false">IF(COUNTIFS('Auction Log'!$B$5:$B$304,A223,'Auction Log'!$D$5:$D$304,"&lt;&gt;",'Auction Log'!$E$5:$E$304,"&gt;0")=0,"",IFERROR(INDEX('Auction Log'!$E$5:$E$304,MATCH(1,('Auction Log'!$B$5:$B$304=A223)*('Auction Log'!$D$5:$D$304&lt;&gt;"")*('Auction Log'!$E$5:$E$304&gt;0),0)),""))</f>
        <v/>
      </c>
      <c r="F223" s="18" t="s">
        <v>115</v>
      </c>
      <c r="G223" s="18" t="s">
        <v>21</v>
      </c>
      <c r="H223" s="18" t="n">
        <v>14</v>
      </c>
      <c r="I223" s="18" t="n">
        <v>222</v>
      </c>
      <c r="J223" s="18" t="n">
        <v>11</v>
      </c>
      <c r="K223" s="36"/>
      <c r="L223" s="36" t="n">
        <v>55</v>
      </c>
      <c r="M223" s="19" t="n">
        <v>0</v>
      </c>
      <c r="N223" s="19" t="n">
        <v>0</v>
      </c>
      <c r="O223" s="19" t="n">
        <v>0</v>
      </c>
      <c r="P223" s="19" t="n">
        <v>0</v>
      </c>
      <c r="Q223" s="19" t="n">
        <v>0</v>
      </c>
      <c r="R223" s="19" t="n">
        <v>1</v>
      </c>
      <c r="S223" s="19" t="n">
        <v>1</v>
      </c>
      <c r="T223" s="18" t="s">
        <v>291</v>
      </c>
      <c r="U223" s="32"/>
      <c r="V223" s="19" t="str">
        <f aca="false">IF(E223="","",R223-E223)</f>
        <v/>
      </c>
      <c r="W223" s="18" t="s">
        <v>128</v>
      </c>
      <c r="X223" s="4" t="n">
        <f aca="false">IF(AND(D223="Available",R223&gt;=55),ROW(),9999)</f>
        <v>9999</v>
      </c>
      <c r="Y223" s="4" t="n">
        <f aca="false">IF(AND(D223="Available",R223&gt;=40,R223&lt;55),ROW(),9999)</f>
        <v>9999</v>
      </c>
      <c r="Z223" s="4" t="n">
        <f aca="false">IF(AND(D223="Available",R223&gt;=25,R223&lt;40),ROW(),9999)</f>
        <v>9999</v>
      </c>
      <c r="AA223" s="35" t="str">
        <f aca="false">IF(K223="","",IF(L223="",K223,ROUND(AVERAGE(K223,L223),0)))</f>
        <v/>
      </c>
    </row>
    <row r="224" customFormat="false" ht="15" hidden="false" customHeight="false" outlineLevel="0" collapsed="false">
      <c r="A224" s="18" t="s">
        <v>377</v>
      </c>
      <c r="B224" s="19" t="n">
        <f aca="false">R224-N224</f>
        <v>1</v>
      </c>
      <c r="C224" s="18" t="str">
        <f aca="false">IF(B224&gt;=5,"SMASH BUY",IF(B224&gt;=2,"BUY",IF(B224&gt;=-1,"NEUTRAL",IF(B224&gt;=-4,"AVOID","DO NOT BID"))))</f>
        <v>NEUTRAL</v>
      </c>
      <c r="D224" s="18" t="str">
        <f aca="false">IF(COUNTIFS('Auction Log'!$B$5:$B$304,A224,'Auction Log'!$D$5:$D$304,"&lt;&gt;",'Auction Log'!$E$5:$E$304,"&gt;0")=0,"Available",IFERROR(INDEX('Auction Log'!$D$5:$D$304,MATCH(1,('Auction Log'!$B$5:$B$304=A224)*('Auction Log'!$D$5:$D$304&lt;&gt;"")*('Auction Log'!$E$5:$E$304&gt;0),0)),"SOLD"))</f>
        <v>Available</v>
      </c>
      <c r="E224" s="19" t="str">
        <f aca="false">IF(COUNTIFS('Auction Log'!$B$5:$B$304,A224,'Auction Log'!$D$5:$D$304,"&lt;&gt;",'Auction Log'!$E$5:$E$304,"&gt;0")=0,"",IFERROR(INDEX('Auction Log'!$E$5:$E$304,MATCH(1,('Auction Log'!$B$5:$B$304=A224)*('Auction Log'!$D$5:$D$304&lt;&gt;"")*('Auction Log'!$E$5:$E$304&gt;0),0)),""))</f>
        <v/>
      </c>
      <c r="F224" s="18" t="s">
        <v>104</v>
      </c>
      <c r="G224" s="18" t="s">
        <v>21</v>
      </c>
      <c r="H224" s="18" t="n">
        <v>11</v>
      </c>
      <c r="I224" s="18" t="n">
        <v>223</v>
      </c>
      <c r="J224" s="18" t="n">
        <v>11</v>
      </c>
      <c r="K224" s="36"/>
      <c r="L224" s="36" t="n">
        <v>10</v>
      </c>
      <c r="M224" s="19" t="n">
        <v>0</v>
      </c>
      <c r="N224" s="19" t="n">
        <v>0</v>
      </c>
      <c r="O224" s="19" t="n">
        <v>0</v>
      </c>
      <c r="P224" s="19" t="n">
        <v>0</v>
      </c>
      <c r="Q224" s="19" t="n">
        <v>0</v>
      </c>
      <c r="R224" s="19" t="n">
        <v>1</v>
      </c>
      <c r="S224" s="19" t="n">
        <v>1</v>
      </c>
      <c r="T224" s="18" t="s">
        <v>291</v>
      </c>
      <c r="U224" s="32"/>
      <c r="V224" s="19" t="str">
        <f aca="false">IF(E224="","",R224-E224)</f>
        <v/>
      </c>
      <c r="W224" s="18" t="s">
        <v>128</v>
      </c>
      <c r="X224" s="4" t="n">
        <f aca="false">IF(AND(D224="Available",R224&gt;=55),ROW(),9999)</f>
        <v>9999</v>
      </c>
      <c r="Y224" s="4" t="n">
        <f aca="false">IF(AND(D224="Available",R224&gt;=40,R224&lt;55),ROW(),9999)</f>
        <v>9999</v>
      </c>
      <c r="Z224" s="4" t="n">
        <f aca="false">IF(AND(D224="Available",R224&gt;=25,R224&lt;40),ROW(),9999)</f>
        <v>9999</v>
      </c>
      <c r="AA224" s="35" t="str">
        <f aca="false">IF(K224="","",IF(L224="",K224,ROUND(AVERAGE(K224,L224),0)))</f>
        <v/>
      </c>
    </row>
    <row r="225" customFormat="false" ht="15" hidden="false" customHeight="false" outlineLevel="0" collapsed="false">
      <c r="A225" s="18" t="s">
        <v>378</v>
      </c>
      <c r="B225" s="19" t="n">
        <f aca="false">R225-N225</f>
        <v>1</v>
      </c>
      <c r="C225" s="18" t="str">
        <f aca="false">IF(B225&gt;=5,"SMASH BUY",IF(B225&gt;=2,"BUY",IF(B225&gt;=-1,"NEUTRAL",IF(B225&gt;=-4,"AVOID","DO NOT BID"))))</f>
        <v>NEUTRAL</v>
      </c>
      <c r="D225" s="18" t="str">
        <f aca="false">IF(COUNTIFS('Auction Log'!$B$5:$B$304,A225,'Auction Log'!$D$5:$D$304,"&lt;&gt;",'Auction Log'!$E$5:$E$304,"&gt;0")=0,"Available",IFERROR(INDEX('Auction Log'!$D$5:$D$304,MATCH(1,('Auction Log'!$B$5:$B$304=A225)*('Auction Log'!$D$5:$D$304&lt;&gt;"")*('Auction Log'!$E$5:$E$304&gt;0),0)),"SOLD"))</f>
        <v>Available</v>
      </c>
      <c r="E225" s="19" t="str">
        <f aca="false">IF(COUNTIFS('Auction Log'!$B$5:$B$304,A225,'Auction Log'!$D$5:$D$304,"&lt;&gt;",'Auction Log'!$E$5:$E$304,"&gt;0")=0,"",IFERROR(INDEX('Auction Log'!$E$5:$E$304,MATCH(1,('Auction Log'!$B$5:$B$304=A225)*('Auction Log'!$D$5:$D$304&lt;&gt;"")*('Auction Log'!$E$5:$E$304&gt;0),0)),""))</f>
        <v/>
      </c>
      <c r="F225" s="18" t="s">
        <v>177</v>
      </c>
      <c r="G225" s="18" t="s">
        <v>21</v>
      </c>
      <c r="H225" s="18" t="n">
        <v>7</v>
      </c>
      <c r="I225" s="18" t="n">
        <v>225</v>
      </c>
      <c r="J225" s="18" t="n">
        <v>11</v>
      </c>
      <c r="K225" s="36"/>
      <c r="L225" s="36" t="n">
        <v>16</v>
      </c>
      <c r="M225" s="19" t="n">
        <v>0</v>
      </c>
      <c r="N225" s="19" t="n">
        <v>0</v>
      </c>
      <c r="O225" s="19" t="n">
        <v>0</v>
      </c>
      <c r="P225" s="19" t="n">
        <v>0</v>
      </c>
      <c r="Q225" s="19" t="n">
        <v>0</v>
      </c>
      <c r="R225" s="19" t="n">
        <v>1</v>
      </c>
      <c r="S225" s="19" t="n">
        <v>1</v>
      </c>
      <c r="T225" s="18" t="s">
        <v>291</v>
      </c>
      <c r="U225" s="32"/>
      <c r="V225" s="19" t="str">
        <f aca="false">IF(E225="","",R225-E225)</f>
        <v/>
      </c>
      <c r="W225" s="18" t="s">
        <v>128</v>
      </c>
      <c r="X225" s="4" t="n">
        <f aca="false">IF(AND(D225="Available",R225&gt;=55),ROW(),9999)</f>
        <v>9999</v>
      </c>
      <c r="Y225" s="4" t="n">
        <f aca="false">IF(AND(D225="Available",R225&gt;=40,R225&lt;55),ROW(),9999)</f>
        <v>9999</v>
      </c>
      <c r="Z225" s="4" t="n">
        <f aca="false">IF(AND(D225="Available",R225&gt;=25,R225&lt;40),ROW(),9999)</f>
        <v>9999</v>
      </c>
      <c r="AA225" s="35" t="str">
        <f aca="false">IF(K225="","",IF(L225="",K225,ROUND(AVERAGE(K225,L225),0)))</f>
        <v/>
      </c>
    </row>
    <row r="226" customFormat="false" ht="15" hidden="false" customHeight="false" outlineLevel="0" collapsed="false">
      <c r="A226" s="18" t="s">
        <v>379</v>
      </c>
      <c r="B226" s="19" t="n">
        <f aca="false">R226-N226</f>
        <v>0</v>
      </c>
      <c r="C226" s="18" t="str">
        <f aca="false">IF(B226&gt;=5,"SMASH BUY",IF(B226&gt;=2,"BUY",IF(B226&gt;=-1,"NEUTRAL",IF(B226&gt;=-4,"AVOID","DO NOT BID"))))</f>
        <v>NEUTRAL</v>
      </c>
      <c r="D226" s="18" t="str">
        <f aca="false">IF(COUNTIFS('Auction Log'!$B$5:$B$304,A226,'Auction Log'!$D$5:$D$304,"&lt;&gt;",'Auction Log'!$E$5:$E$304,"&gt;0")=0,"Available",IFERROR(INDEX('Auction Log'!$D$5:$D$304,MATCH(1,('Auction Log'!$B$5:$B$304=A226)*('Auction Log'!$D$5:$D$304&lt;&gt;"")*('Auction Log'!$E$5:$E$304&gt;0),0)),"SOLD"))</f>
        <v>Available</v>
      </c>
      <c r="E226" s="19" t="str">
        <f aca="false">IF(COUNTIFS('Auction Log'!$B$5:$B$304,A226,'Auction Log'!$D$5:$D$304,"&lt;&gt;",'Auction Log'!$E$5:$E$304,"&gt;0")=0,"",IFERROR(INDEX('Auction Log'!$E$5:$E$304,MATCH(1,('Auction Log'!$B$5:$B$304=A226)*('Auction Log'!$D$5:$D$304&lt;&gt;"")*('Auction Log'!$E$5:$E$304&gt;0),0)),""))</f>
        <v/>
      </c>
      <c r="F226" s="18" t="s">
        <v>204</v>
      </c>
      <c r="G226" s="18" t="s">
        <v>30</v>
      </c>
      <c r="H226" s="18" t="n">
        <v>9</v>
      </c>
      <c r="I226" s="18" t="n">
        <v>226</v>
      </c>
      <c r="J226" s="18" t="n">
        <v>11</v>
      </c>
      <c r="K226" s="36" t="n">
        <v>134</v>
      </c>
      <c r="L226" s="36" t="n">
        <v>136</v>
      </c>
      <c r="M226" s="19" t="n">
        <v>0</v>
      </c>
      <c r="N226" s="19" t="n">
        <v>1</v>
      </c>
      <c r="O226" s="19" t="n">
        <v>-3</v>
      </c>
      <c r="P226" s="19" t="n">
        <v>0</v>
      </c>
      <c r="Q226" s="19" t="n">
        <v>0</v>
      </c>
      <c r="R226" s="19" t="n">
        <v>1</v>
      </c>
      <c r="S226" s="19" t="n">
        <v>1</v>
      </c>
      <c r="T226" s="18" t="s">
        <v>291</v>
      </c>
      <c r="U226" s="32"/>
      <c r="V226" s="19" t="str">
        <f aca="false">IF(E226="","",R226-E226)</f>
        <v/>
      </c>
      <c r="W226" s="18" t="s">
        <v>128</v>
      </c>
      <c r="X226" s="4" t="n">
        <f aca="false">IF(AND(D226="Available",R226&gt;=55),ROW(),9999)</f>
        <v>9999</v>
      </c>
      <c r="Y226" s="4" t="n">
        <f aca="false">IF(AND(D226="Available",R226&gt;=40,R226&lt;55),ROW(),9999)</f>
        <v>9999</v>
      </c>
      <c r="Z226" s="4" t="n">
        <f aca="false">IF(AND(D226="Available",R226&gt;=25,R226&lt;40),ROW(),9999)</f>
        <v>9999</v>
      </c>
      <c r="AA226" s="35" t="n">
        <f aca="false">IF(K226="","",IF(L226="",K226,ROUND(AVERAGE(K226,L226),0)))</f>
        <v>135</v>
      </c>
    </row>
    <row r="227" customFormat="false" ht="15" hidden="false" customHeight="false" outlineLevel="0" collapsed="false">
      <c r="A227" s="18" t="s">
        <v>380</v>
      </c>
      <c r="B227" s="19" t="n">
        <f aca="false">R227-N227</f>
        <v>0</v>
      </c>
      <c r="C227" s="18" t="str">
        <f aca="false">IF(B227&gt;=5,"SMASH BUY",IF(B227&gt;=2,"BUY",IF(B227&gt;=-1,"NEUTRAL",IF(B227&gt;=-4,"AVOID","DO NOT BID"))))</f>
        <v>NEUTRAL</v>
      </c>
      <c r="D227" s="18" t="str">
        <f aca="false">IF(COUNTIFS('Auction Log'!$B$5:$B$304,A227,'Auction Log'!$D$5:$D$304,"&lt;&gt;",'Auction Log'!$E$5:$E$304,"&gt;0")=0,"Available",IFERROR(INDEX('Auction Log'!$D$5:$D$304,MATCH(1,('Auction Log'!$B$5:$B$304=A227)*('Auction Log'!$D$5:$D$304&lt;&gt;"")*('Auction Log'!$E$5:$E$304&gt;0),0)),"SOLD"))</f>
        <v>Available</v>
      </c>
      <c r="E227" s="19" t="str">
        <f aca="false">IF(COUNTIFS('Auction Log'!$B$5:$B$304,A227,'Auction Log'!$D$5:$D$304,"&lt;&gt;",'Auction Log'!$E$5:$E$304,"&gt;0")=0,"",IFERROR(INDEX('Auction Log'!$E$5:$E$304,MATCH(1,('Auction Log'!$B$5:$B$304=A227)*('Auction Log'!$D$5:$D$304&lt;&gt;"")*('Auction Log'!$E$5:$E$304&gt;0),0)),""))</f>
        <v/>
      </c>
      <c r="F227" s="18" t="s">
        <v>106</v>
      </c>
      <c r="G227" s="18" t="s">
        <v>37</v>
      </c>
      <c r="H227" s="18" t="n">
        <v>11</v>
      </c>
      <c r="I227" s="18" t="n">
        <v>227</v>
      </c>
      <c r="J227" s="18" t="n">
        <v>11</v>
      </c>
      <c r="K227" s="36" t="n">
        <v>137</v>
      </c>
      <c r="L227" s="36"/>
      <c r="M227" s="19" t="n">
        <v>0</v>
      </c>
      <c r="N227" s="19" t="n">
        <v>1</v>
      </c>
      <c r="O227" s="19" t="n">
        <v>-3</v>
      </c>
      <c r="P227" s="19" t="n">
        <v>0</v>
      </c>
      <c r="Q227" s="19" t="n">
        <v>0</v>
      </c>
      <c r="R227" s="19" t="n">
        <v>1</v>
      </c>
      <c r="S227" s="19" t="n">
        <v>1</v>
      </c>
      <c r="T227" s="18" t="s">
        <v>291</v>
      </c>
      <c r="U227" s="32"/>
      <c r="V227" s="19" t="str">
        <f aca="false">IF(E227="","",R227-E227)</f>
        <v/>
      </c>
      <c r="W227" s="18" t="s">
        <v>128</v>
      </c>
      <c r="X227" s="4" t="n">
        <f aca="false">IF(AND(D227="Available",R227&gt;=55),ROW(),9999)</f>
        <v>9999</v>
      </c>
      <c r="Y227" s="4" t="n">
        <f aca="false">IF(AND(D227="Available",R227&gt;=40,R227&lt;55),ROW(),9999)</f>
        <v>9999</v>
      </c>
      <c r="Z227" s="4" t="n">
        <f aca="false">IF(AND(D227="Available",R227&gt;=25,R227&lt;40),ROW(),9999)</f>
        <v>9999</v>
      </c>
      <c r="AA227" s="35" t="n">
        <f aca="false">IF(K227="","",IF(L227="",K227,ROUND(AVERAGE(K227,L227),0)))</f>
        <v>137</v>
      </c>
    </row>
    <row r="228" customFormat="false" ht="15" hidden="false" customHeight="false" outlineLevel="0" collapsed="false">
      <c r="A228" s="18" t="s">
        <v>381</v>
      </c>
      <c r="B228" s="19" t="n">
        <f aca="false">R228-N228</f>
        <v>0</v>
      </c>
      <c r="C228" s="18" t="str">
        <f aca="false">IF(B228&gt;=5,"SMASH BUY",IF(B228&gt;=2,"BUY",IF(B228&gt;=-1,"NEUTRAL",IF(B228&gt;=-4,"AVOID","DO NOT BID"))))</f>
        <v>NEUTRAL</v>
      </c>
      <c r="D228" s="18" t="str">
        <f aca="false">IF(COUNTIFS('Auction Log'!$B$5:$B$304,A228,'Auction Log'!$D$5:$D$304,"&lt;&gt;",'Auction Log'!$E$5:$E$304,"&gt;0")=0,"Available",IFERROR(INDEX('Auction Log'!$D$5:$D$304,MATCH(1,('Auction Log'!$B$5:$B$304=A228)*('Auction Log'!$D$5:$D$304&lt;&gt;"")*('Auction Log'!$E$5:$E$304&gt;0),0)),"SOLD"))</f>
        <v>Available</v>
      </c>
      <c r="E228" s="19" t="str">
        <f aca="false">IF(COUNTIFS('Auction Log'!$B$5:$B$304,A228,'Auction Log'!$D$5:$D$304,"&lt;&gt;",'Auction Log'!$E$5:$E$304,"&gt;0")=0,"",IFERROR(INDEX('Auction Log'!$E$5:$E$304,MATCH(1,('Auction Log'!$B$5:$B$304=A228)*('Auction Log'!$D$5:$D$304&lt;&gt;"")*('Auction Log'!$E$5:$E$304&gt;0),0)),""))</f>
        <v/>
      </c>
      <c r="F228" s="18" t="s">
        <v>96</v>
      </c>
      <c r="G228" s="18" t="s">
        <v>34</v>
      </c>
      <c r="H228" s="18" t="n">
        <v>6</v>
      </c>
      <c r="I228" s="18" t="n">
        <v>228</v>
      </c>
      <c r="J228" s="18" t="n">
        <v>11</v>
      </c>
      <c r="K228" s="36" t="n">
        <v>107</v>
      </c>
      <c r="L228" s="36"/>
      <c r="M228" s="19" t="n">
        <v>0</v>
      </c>
      <c r="N228" s="19" t="n">
        <v>1</v>
      </c>
      <c r="O228" s="19" t="n">
        <v>-3</v>
      </c>
      <c r="P228" s="19" t="n">
        <v>0</v>
      </c>
      <c r="Q228" s="19" t="n">
        <v>0</v>
      </c>
      <c r="R228" s="19" t="n">
        <v>1</v>
      </c>
      <c r="S228" s="19" t="n">
        <v>1</v>
      </c>
      <c r="T228" s="18" t="s">
        <v>291</v>
      </c>
      <c r="U228" s="32"/>
      <c r="V228" s="19" t="str">
        <f aca="false">IF(E228="","",R228-E228)</f>
        <v/>
      </c>
      <c r="W228" s="18" t="s">
        <v>128</v>
      </c>
      <c r="X228" s="4" t="n">
        <f aca="false">IF(AND(D228="Available",R228&gt;=55),ROW(),9999)</f>
        <v>9999</v>
      </c>
      <c r="Y228" s="4" t="n">
        <f aca="false">IF(AND(D228="Available",R228&gt;=40,R228&lt;55),ROW(),9999)</f>
        <v>9999</v>
      </c>
      <c r="Z228" s="4" t="n">
        <f aca="false">IF(AND(D228="Available",R228&gt;=25,R228&lt;40),ROW(),9999)</f>
        <v>9999</v>
      </c>
      <c r="AA228" s="35" t="n">
        <f aca="false">IF(K228="","",IF(L228="",K228,ROUND(AVERAGE(K228,L228),0)))</f>
        <v>107</v>
      </c>
    </row>
    <row r="229" customFormat="false" ht="15" hidden="false" customHeight="false" outlineLevel="0" collapsed="false">
      <c r="A229" s="18" t="s">
        <v>382</v>
      </c>
      <c r="B229" s="19" t="n">
        <f aca="false">R229-N229</f>
        <v>1</v>
      </c>
      <c r="C229" s="18" t="str">
        <f aca="false">IF(B229&gt;=5,"SMASH BUY",IF(B229&gt;=2,"BUY",IF(B229&gt;=-1,"NEUTRAL",IF(B229&gt;=-4,"AVOID","DO NOT BID"))))</f>
        <v>NEUTRAL</v>
      </c>
      <c r="D229" s="18" t="str">
        <f aca="false">IF(COUNTIFS('Auction Log'!$B$5:$B$304,A229,'Auction Log'!$D$5:$D$304,"&lt;&gt;",'Auction Log'!$E$5:$E$304,"&gt;0")=0,"Available",IFERROR(INDEX('Auction Log'!$D$5:$D$304,MATCH(1,('Auction Log'!$B$5:$B$304=A229)*('Auction Log'!$D$5:$D$304&lt;&gt;"")*('Auction Log'!$E$5:$E$304&gt;0),0)),"SOLD"))</f>
        <v>Available</v>
      </c>
      <c r="E229" s="19" t="str">
        <f aca="false">IF(COUNTIFS('Auction Log'!$B$5:$B$304,A229,'Auction Log'!$D$5:$D$304,"&lt;&gt;",'Auction Log'!$E$5:$E$304,"&gt;0")=0,"",IFERROR(INDEX('Auction Log'!$E$5:$E$304,MATCH(1,('Auction Log'!$B$5:$B$304=A229)*('Auction Log'!$D$5:$D$304&lt;&gt;"")*('Auction Log'!$E$5:$E$304&gt;0),0)),""))</f>
        <v/>
      </c>
      <c r="F229" s="18" t="s">
        <v>173</v>
      </c>
      <c r="G229" s="18" t="s">
        <v>30</v>
      </c>
      <c r="H229" s="18" t="n">
        <v>10</v>
      </c>
      <c r="I229" s="18" t="n">
        <v>229</v>
      </c>
      <c r="J229" s="18" t="n">
        <v>11</v>
      </c>
      <c r="K229" s="36"/>
      <c r="L229" s="36" t="n">
        <v>102</v>
      </c>
      <c r="M229" s="19" t="n">
        <v>0</v>
      </c>
      <c r="N229" s="19" t="n">
        <v>0</v>
      </c>
      <c r="O229" s="19" t="n">
        <v>0</v>
      </c>
      <c r="P229" s="19" t="n">
        <v>0</v>
      </c>
      <c r="Q229" s="19" t="n">
        <v>0</v>
      </c>
      <c r="R229" s="19" t="n">
        <v>1</v>
      </c>
      <c r="S229" s="19" t="n">
        <v>1</v>
      </c>
      <c r="T229" s="18" t="s">
        <v>291</v>
      </c>
      <c r="U229" s="32"/>
      <c r="V229" s="19" t="str">
        <f aca="false">IF(E229="","",R229-E229)</f>
        <v/>
      </c>
      <c r="W229" s="18" t="s">
        <v>128</v>
      </c>
      <c r="X229" s="4" t="n">
        <f aca="false">IF(AND(D229="Available",R229&gt;=55),ROW(),9999)</f>
        <v>9999</v>
      </c>
      <c r="Y229" s="4" t="n">
        <f aca="false">IF(AND(D229="Available",R229&gt;=40,R229&lt;55),ROW(),9999)</f>
        <v>9999</v>
      </c>
      <c r="Z229" s="4" t="n">
        <f aca="false">IF(AND(D229="Available",R229&gt;=25,R229&lt;40),ROW(),9999)</f>
        <v>9999</v>
      </c>
      <c r="AA229" s="35" t="str">
        <f aca="false">IF(K229="","",IF(L229="",K229,ROUND(AVERAGE(K229,L229),0)))</f>
        <v/>
      </c>
    </row>
    <row r="230" customFormat="false" ht="15" hidden="false" customHeight="false" outlineLevel="0" collapsed="false">
      <c r="A230" s="18" t="s">
        <v>383</v>
      </c>
      <c r="B230" s="19" t="n">
        <f aca="false">R230-N230</f>
        <v>1</v>
      </c>
      <c r="C230" s="18" t="str">
        <f aca="false">IF(B230&gt;=5,"SMASH BUY",IF(B230&gt;=2,"BUY",IF(B230&gt;=-1,"NEUTRAL",IF(B230&gt;=-4,"AVOID","DO NOT BID"))))</f>
        <v>NEUTRAL</v>
      </c>
      <c r="D230" s="18" t="str">
        <f aca="false">IF(COUNTIFS('Auction Log'!$B$5:$B$304,A230,'Auction Log'!$D$5:$D$304,"&lt;&gt;",'Auction Log'!$E$5:$E$304,"&gt;0")=0,"Available",IFERROR(INDEX('Auction Log'!$D$5:$D$304,MATCH(1,('Auction Log'!$B$5:$B$304=A230)*('Auction Log'!$D$5:$D$304&lt;&gt;"")*('Auction Log'!$E$5:$E$304&gt;0),0)),"SOLD"))</f>
        <v>Available</v>
      </c>
      <c r="E230" s="19" t="str">
        <f aca="false">IF(COUNTIFS('Auction Log'!$B$5:$B$304,A230,'Auction Log'!$D$5:$D$304,"&lt;&gt;",'Auction Log'!$E$5:$E$304,"&gt;0")=0,"",IFERROR(INDEX('Auction Log'!$E$5:$E$304,MATCH(1,('Auction Log'!$B$5:$B$304=A230)*('Auction Log'!$D$5:$D$304&lt;&gt;"")*('Auction Log'!$E$5:$E$304&gt;0),0)),""))</f>
        <v/>
      </c>
      <c r="F230" s="18" t="s">
        <v>204</v>
      </c>
      <c r="G230" s="18" t="s">
        <v>26</v>
      </c>
      <c r="H230" s="18" t="n">
        <v>9</v>
      </c>
      <c r="I230" s="18" t="n">
        <v>230</v>
      </c>
      <c r="J230" s="18" t="n">
        <v>11</v>
      </c>
      <c r="K230" s="36"/>
      <c r="L230" s="36" t="n">
        <v>109</v>
      </c>
      <c r="M230" s="19" t="n">
        <v>0</v>
      </c>
      <c r="N230" s="19" t="n">
        <v>0</v>
      </c>
      <c r="O230" s="19" t="n">
        <v>0</v>
      </c>
      <c r="P230" s="19" t="n">
        <v>0</v>
      </c>
      <c r="Q230" s="19" t="n">
        <v>0</v>
      </c>
      <c r="R230" s="19" t="n">
        <v>1</v>
      </c>
      <c r="S230" s="19" t="n">
        <v>1</v>
      </c>
      <c r="T230" s="18" t="s">
        <v>291</v>
      </c>
      <c r="U230" s="32"/>
      <c r="V230" s="19" t="str">
        <f aca="false">IF(E230="","",R230-E230)</f>
        <v/>
      </c>
      <c r="W230" s="18" t="s">
        <v>128</v>
      </c>
      <c r="X230" s="4" t="n">
        <f aca="false">IF(AND(D230="Available",R230&gt;=55),ROW(),9999)</f>
        <v>9999</v>
      </c>
      <c r="Y230" s="4" t="n">
        <f aca="false">IF(AND(D230="Available",R230&gt;=40,R230&lt;55),ROW(),9999)</f>
        <v>9999</v>
      </c>
      <c r="Z230" s="4" t="n">
        <f aca="false">IF(AND(D230="Available",R230&gt;=25,R230&lt;40),ROW(),9999)</f>
        <v>9999</v>
      </c>
      <c r="AA230" s="35" t="str">
        <f aca="false">IF(K230="","",IF(L230="",K230,ROUND(AVERAGE(K230,L230),0)))</f>
        <v/>
      </c>
    </row>
    <row r="231" customFormat="false" ht="15" hidden="false" customHeight="false" outlineLevel="0" collapsed="false">
      <c r="A231" s="18" t="s">
        <v>384</v>
      </c>
      <c r="B231" s="19" t="n">
        <f aca="false">R231-N231</f>
        <v>0</v>
      </c>
      <c r="C231" s="18" t="str">
        <f aca="false">IF(B231&gt;=5,"SMASH BUY",IF(B231&gt;=2,"BUY",IF(B231&gt;=-1,"NEUTRAL",IF(B231&gt;=-4,"AVOID","DO NOT BID"))))</f>
        <v>NEUTRAL</v>
      </c>
      <c r="D231" s="18" t="str">
        <f aca="false">IF(COUNTIFS('Auction Log'!$B$5:$B$304,A231,'Auction Log'!$D$5:$D$304,"&lt;&gt;",'Auction Log'!$E$5:$E$304,"&gt;0")=0,"Available",IFERROR(INDEX('Auction Log'!$D$5:$D$304,MATCH(1,('Auction Log'!$B$5:$B$304=A231)*('Auction Log'!$D$5:$D$304&lt;&gt;"")*('Auction Log'!$E$5:$E$304&gt;0),0)),"SOLD"))</f>
        <v>Available</v>
      </c>
      <c r="E231" s="19" t="str">
        <f aca="false">IF(COUNTIFS('Auction Log'!$B$5:$B$304,A231,'Auction Log'!$D$5:$D$304,"&lt;&gt;",'Auction Log'!$E$5:$E$304,"&gt;0")=0,"",IFERROR(INDEX('Auction Log'!$E$5:$E$304,MATCH(1,('Auction Log'!$B$5:$B$304=A231)*('Auction Log'!$D$5:$D$304&lt;&gt;"")*('Auction Log'!$E$5:$E$304&gt;0),0)),""))</f>
        <v/>
      </c>
      <c r="F231" s="18" t="s">
        <v>173</v>
      </c>
      <c r="G231" s="18" t="s">
        <v>37</v>
      </c>
      <c r="H231" s="18" t="n">
        <v>10</v>
      </c>
      <c r="I231" s="18" t="n">
        <v>231</v>
      </c>
      <c r="J231" s="18" t="n">
        <v>11</v>
      </c>
      <c r="K231" s="36" t="n">
        <v>133</v>
      </c>
      <c r="L231" s="36"/>
      <c r="M231" s="19" t="n">
        <v>0</v>
      </c>
      <c r="N231" s="19" t="n">
        <v>1</v>
      </c>
      <c r="O231" s="19" t="n">
        <v>-3</v>
      </c>
      <c r="P231" s="19" t="n">
        <v>0</v>
      </c>
      <c r="Q231" s="19" t="n">
        <v>0</v>
      </c>
      <c r="R231" s="19" t="n">
        <v>1</v>
      </c>
      <c r="S231" s="19" t="n">
        <v>1</v>
      </c>
      <c r="T231" s="18" t="s">
        <v>291</v>
      </c>
      <c r="U231" s="32"/>
      <c r="V231" s="19" t="str">
        <f aca="false">IF(E231="","",R231-E231)</f>
        <v/>
      </c>
      <c r="W231" s="18" t="s">
        <v>128</v>
      </c>
      <c r="X231" s="4" t="n">
        <f aca="false">IF(AND(D231="Available",R231&gt;=55),ROW(),9999)</f>
        <v>9999</v>
      </c>
      <c r="Y231" s="4" t="n">
        <f aca="false">IF(AND(D231="Available",R231&gt;=40,R231&lt;55),ROW(),9999)</f>
        <v>9999</v>
      </c>
      <c r="Z231" s="4" t="n">
        <f aca="false">IF(AND(D231="Available",R231&gt;=25,R231&lt;40),ROW(),9999)</f>
        <v>9999</v>
      </c>
      <c r="AA231" s="35" t="n">
        <f aca="false">IF(K231="","",IF(L231="",K231,ROUND(AVERAGE(K231,L231),0)))</f>
        <v>133</v>
      </c>
    </row>
    <row r="232" customFormat="false" ht="15" hidden="false" customHeight="false" outlineLevel="0" collapsed="false">
      <c r="A232" s="18" t="s">
        <v>385</v>
      </c>
      <c r="B232" s="19" t="n">
        <f aca="false">R232-N232</f>
        <v>0</v>
      </c>
      <c r="C232" s="18" t="str">
        <f aca="false">IF(B232&gt;=5,"SMASH BUY",IF(B232&gt;=2,"BUY",IF(B232&gt;=-1,"NEUTRAL",IF(B232&gt;=-4,"AVOID","DO NOT BID"))))</f>
        <v>NEUTRAL</v>
      </c>
      <c r="D232" s="18" t="str">
        <f aca="false">IF(COUNTIFS('Auction Log'!$B$5:$B$304,A232,'Auction Log'!$D$5:$D$304,"&lt;&gt;",'Auction Log'!$E$5:$E$304,"&gt;0")=0,"Available",IFERROR(INDEX('Auction Log'!$D$5:$D$304,MATCH(1,('Auction Log'!$B$5:$B$304=A232)*('Auction Log'!$D$5:$D$304&lt;&gt;"")*('Auction Log'!$E$5:$E$304&gt;0),0)),"SOLD"))</f>
        <v>Available</v>
      </c>
      <c r="E232" s="19" t="str">
        <f aca="false">IF(COUNTIFS('Auction Log'!$B$5:$B$304,A232,'Auction Log'!$D$5:$D$304,"&lt;&gt;",'Auction Log'!$E$5:$E$304,"&gt;0")=0,"",IFERROR(INDEX('Auction Log'!$E$5:$E$304,MATCH(1,('Auction Log'!$B$5:$B$304=A232)*('Auction Log'!$D$5:$D$304&lt;&gt;"")*('Auction Log'!$E$5:$E$304&gt;0),0)),""))</f>
        <v/>
      </c>
      <c r="F232" s="18" t="s">
        <v>122</v>
      </c>
      <c r="G232" s="18" t="s">
        <v>34</v>
      </c>
      <c r="H232" s="18" t="n">
        <v>7</v>
      </c>
      <c r="I232" s="18" t="n">
        <v>233</v>
      </c>
      <c r="J232" s="18" t="n">
        <v>11</v>
      </c>
      <c r="K232" s="36" t="n">
        <v>107</v>
      </c>
      <c r="L232" s="36"/>
      <c r="M232" s="19" t="n">
        <v>0</v>
      </c>
      <c r="N232" s="19" t="n">
        <v>1</v>
      </c>
      <c r="O232" s="19" t="n">
        <v>-3</v>
      </c>
      <c r="P232" s="19" t="n">
        <v>0</v>
      </c>
      <c r="Q232" s="19" t="n">
        <v>0</v>
      </c>
      <c r="R232" s="19" t="n">
        <v>1</v>
      </c>
      <c r="S232" s="19" t="n">
        <v>1</v>
      </c>
      <c r="T232" s="18" t="s">
        <v>291</v>
      </c>
      <c r="U232" s="32"/>
      <c r="V232" s="19" t="str">
        <f aca="false">IF(E232="","",R232-E232)</f>
        <v/>
      </c>
      <c r="W232" s="18" t="s">
        <v>128</v>
      </c>
      <c r="X232" s="4" t="n">
        <f aca="false">IF(AND(D232="Available",R232&gt;=55),ROW(),9999)</f>
        <v>9999</v>
      </c>
      <c r="Y232" s="4" t="n">
        <f aca="false">IF(AND(D232="Available",R232&gt;=40,R232&lt;55),ROW(),9999)</f>
        <v>9999</v>
      </c>
      <c r="Z232" s="4" t="n">
        <f aca="false">IF(AND(D232="Available",R232&gt;=25,R232&lt;40),ROW(),9999)</f>
        <v>9999</v>
      </c>
      <c r="AA232" s="35" t="n">
        <f aca="false">IF(K232="","",IF(L232="",K232,ROUND(AVERAGE(K232,L232),0)))</f>
        <v>107</v>
      </c>
    </row>
    <row r="233" customFormat="false" ht="15" hidden="false" customHeight="false" outlineLevel="0" collapsed="false">
      <c r="A233" s="18" t="s">
        <v>386</v>
      </c>
      <c r="B233" s="19" t="n">
        <f aca="false">R233-N233</f>
        <v>1</v>
      </c>
      <c r="C233" s="18" t="str">
        <f aca="false">IF(B233&gt;=5,"SMASH BUY",IF(B233&gt;=2,"BUY",IF(B233&gt;=-1,"NEUTRAL",IF(B233&gt;=-4,"AVOID","DO NOT BID"))))</f>
        <v>NEUTRAL</v>
      </c>
      <c r="D233" s="18" t="str">
        <f aca="false">IF(COUNTIFS('Auction Log'!$B$5:$B$304,A233,'Auction Log'!$D$5:$D$304,"&lt;&gt;",'Auction Log'!$E$5:$E$304,"&gt;0")=0,"Available",IFERROR(INDEX('Auction Log'!$D$5:$D$304,MATCH(1,('Auction Log'!$B$5:$B$304=A233)*('Auction Log'!$D$5:$D$304&lt;&gt;"")*('Auction Log'!$E$5:$E$304&gt;0),0)),"SOLD"))</f>
        <v>Available</v>
      </c>
      <c r="E233" s="19" t="str">
        <f aca="false">IF(COUNTIFS('Auction Log'!$B$5:$B$304,A233,'Auction Log'!$D$5:$D$304,"&lt;&gt;",'Auction Log'!$E$5:$E$304,"&gt;0")=0,"",IFERROR(INDEX('Auction Log'!$E$5:$E$304,MATCH(1,('Auction Log'!$B$5:$B$304=A233)*('Auction Log'!$D$5:$D$304&lt;&gt;"")*('Auction Log'!$E$5:$E$304&gt;0),0)),""))</f>
        <v/>
      </c>
      <c r="F233" s="18" t="s">
        <v>102</v>
      </c>
      <c r="G233" s="18" t="s">
        <v>26</v>
      </c>
      <c r="H233" s="18" t="n">
        <v>11</v>
      </c>
      <c r="I233" s="18" t="n">
        <v>234</v>
      </c>
      <c r="J233" s="18" t="n">
        <v>11</v>
      </c>
      <c r="K233" s="36"/>
      <c r="L233" s="36" t="n">
        <v>83</v>
      </c>
      <c r="M233" s="19" t="n">
        <v>0</v>
      </c>
      <c r="N233" s="19" t="n">
        <v>0</v>
      </c>
      <c r="O233" s="19" t="n">
        <v>0</v>
      </c>
      <c r="P233" s="19" t="n">
        <v>0</v>
      </c>
      <c r="Q233" s="19" t="n">
        <v>0</v>
      </c>
      <c r="R233" s="19" t="n">
        <v>1</v>
      </c>
      <c r="S233" s="19" t="n">
        <v>1</v>
      </c>
      <c r="T233" s="18" t="s">
        <v>291</v>
      </c>
      <c r="U233" s="32"/>
      <c r="V233" s="19" t="str">
        <f aca="false">IF(E233="","",R233-E233)</f>
        <v/>
      </c>
      <c r="W233" s="18" t="s">
        <v>128</v>
      </c>
      <c r="X233" s="4" t="n">
        <f aca="false">IF(AND(D233="Available",R233&gt;=55),ROW(),9999)</f>
        <v>9999</v>
      </c>
      <c r="Y233" s="4" t="n">
        <f aca="false">IF(AND(D233="Available",R233&gt;=40,R233&lt;55),ROW(),9999)</f>
        <v>9999</v>
      </c>
      <c r="Z233" s="4" t="n">
        <f aca="false">IF(AND(D233="Available",R233&gt;=25,R233&lt;40),ROW(),9999)</f>
        <v>9999</v>
      </c>
      <c r="AA233" s="35" t="str">
        <f aca="false">IF(K233="","",IF(L233="",K233,ROUND(AVERAGE(K233,L233),0)))</f>
        <v/>
      </c>
    </row>
    <row r="234" customFormat="false" ht="15" hidden="false" customHeight="false" outlineLevel="0" collapsed="false">
      <c r="A234" s="18" t="s">
        <v>387</v>
      </c>
      <c r="B234" s="19" t="n">
        <f aca="false">R234-N234</f>
        <v>1</v>
      </c>
      <c r="C234" s="18" t="str">
        <f aca="false">IF(B234&gt;=5,"SMASH BUY",IF(B234&gt;=2,"BUY",IF(B234&gt;=-1,"NEUTRAL",IF(B234&gt;=-4,"AVOID","DO NOT BID"))))</f>
        <v>NEUTRAL</v>
      </c>
      <c r="D234" s="18" t="str">
        <f aca="false">IF(COUNTIFS('Auction Log'!$B$5:$B$304,A234,'Auction Log'!$D$5:$D$304,"&lt;&gt;",'Auction Log'!$E$5:$E$304,"&gt;0")=0,"Available",IFERROR(INDEX('Auction Log'!$D$5:$D$304,MATCH(1,('Auction Log'!$B$5:$B$304=A234)*('Auction Log'!$D$5:$D$304&lt;&gt;"")*('Auction Log'!$E$5:$E$304&gt;0),0)),"SOLD"))</f>
        <v>Available</v>
      </c>
      <c r="E234" s="19" t="str">
        <f aca="false">IF(COUNTIFS('Auction Log'!$B$5:$B$304,A234,'Auction Log'!$D$5:$D$304,"&lt;&gt;",'Auction Log'!$E$5:$E$304,"&gt;0")=0,"",IFERROR(INDEX('Auction Log'!$E$5:$E$304,MATCH(1,('Auction Log'!$B$5:$B$304=A234)*('Auction Log'!$D$5:$D$304&lt;&gt;"")*('Auction Log'!$E$5:$E$304&gt;0),0)),""))</f>
        <v/>
      </c>
      <c r="F234" s="18" t="s">
        <v>177</v>
      </c>
      <c r="G234" s="18" t="s">
        <v>26</v>
      </c>
      <c r="H234" s="18" t="n">
        <v>7</v>
      </c>
      <c r="I234" s="18" t="n">
        <v>235</v>
      </c>
      <c r="J234" s="18" t="n">
        <v>11</v>
      </c>
      <c r="K234" s="36"/>
      <c r="L234" s="36" t="n">
        <v>78</v>
      </c>
      <c r="M234" s="19" t="n">
        <v>0</v>
      </c>
      <c r="N234" s="19" t="n">
        <v>0</v>
      </c>
      <c r="O234" s="19" t="n">
        <v>0</v>
      </c>
      <c r="P234" s="19" t="n">
        <v>0</v>
      </c>
      <c r="Q234" s="19" t="n">
        <v>0</v>
      </c>
      <c r="R234" s="19" t="n">
        <v>1</v>
      </c>
      <c r="S234" s="19" t="n">
        <v>1</v>
      </c>
      <c r="T234" s="18" t="s">
        <v>291</v>
      </c>
      <c r="U234" s="32"/>
      <c r="V234" s="19" t="str">
        <f aca="false">IF(E234="","",R234-E234)</f>
        <v/>
      </c>
      <c r="W234" s="18" t="s">
        <v>128</v>
      </c>
      <c r="X234" s="4" t="n">
        <f aca="false">IF(AND(D234="Available",R234&gt;=55),ROW(),9999)</f>
        <v>9999</v>
      </c>
      <c r="Y234" s="4" t="n">
        <f aca="false">IF(AND(D234="Available",R234&gt;=40,R234&lt;55),ROW(),9999)</f>
        <v>9999</v>
      </c>
      <c r="Z234" s="4" t="n">
        <f aca="false">IF(AND(D234="Available",R234&gt;=25,R234&lt;40),ROW(),9999)</f>
        <v>9999</v>
      </c>
      <c r="AA234" s="35" t="str">
        <f aca="false">IF(K234="","",IF(L234="",K234,ROUND(AVERAGE(K234,L234),0)))</f>
        <v/>
      </c>
    </row>
    <row r="235" customFormat="false" ht="15" hidden="false" customHeight="false" outlineLevel="0" collapsed="false">
      <c r="A235" s="18" t="s">
        <v>388</v>
      </c>
      <c r="B235" s="19" t="n">
        <f aca="false">R235-N235</f>
        <v>0</v>
      </c>
      <c r="C235" s="18" t="str">
        <f aca="false">IF(B235&gt;=5,"SMASH BUY",IF(B235&gt;=2,"BUY",IF(B235&gt;=-1,"NEUTRAL",IF(B235&gt;=-4,"AVOID","DO NOT BID"))))</f>
        <v>NEUTRAL</v>
      </c>
      <c r="D235" s="18" t="str">
        <f aca="false">IF(COUNTIFS('Auction Log'!$B$5:$B$304,A235,'Auction Log'!$D$5:$D$304,"&lt;&gt;",'Auction Log'!$E$5:$E$304,"&gt;0")=0,"Available",IFERROR(INDEX('Auction Log'!$D$5:$D$304,MATCH(1,('Auction Log'!$B$5:$B$304=A235)*('Auction Log'!$D$5:$D$304&lt;&gt;"")*('Auction Log'!$E$5:$E$304&gt;0),0)),"SOLD"))</f>
        <v>Available</v>
      </c>
      <c r="E235" s="19" t="str">
        <f aca="false">IF(COUNTIFS('Auction Log'!$B$5:$B$304,A235,'Auction Log'!$D$5:$D$304,"&lt;&gt;",'Auction Log'!$E$5:$E$304,"&gt;0")=0,"",IFERROR(INDEX('Auction Log'!$E$5:$E$304,MATCH(1,('Auction Log'!$B$5:$B$304=A235)*('Auction Log'!$D$5:$D$304&lt;&gt;"")*('Auction Log'!$E$5:$E$304&gt;0),0)),""))</f>
        <v/>
      </c>
      <c r="F235" s="18" t="s">
        <v>185</v>
      </c>
      <c r="G235" s="18" t="s">
        <v>34</v>
      </c>
      <c r="H235" s="18" t="n">
        <v>11</v>
      </c>
      <c r="I235" s="18" t="n">
        <v>236</v>
      </c>
      <c r="J235" s="18" t="n">
        <v>11</v>
      </c>
      <c r="K235" s="36" t="n">
        <v>101</v>
      </c>
      <c r="L235" s="36"/>
      <c r="M235" s="19" t="n">
        <v>0</v>
      </c>
      <c r="N235" s="19" t="n">
        <v>1</v>
      </c>
      <c r="O235" s="19" t="n">
        <v>-3</v>
      </c>
      <c r="P235" s="19" t="n">
        <v>0</v>
      </c>
      <c r="Q235" s="19" t="n">
        <v>0</v>
      </c>
      <c r="R235" s="19" t="n">
        <v>1</v>
      </c>
      <c r="S235" s="19" t="n">
        <v>1</v>
      </c>
      <c r="T235" s="18" t="s">
        <v>291</v>
      </c>
      <c r="U235" s="32"/>
      <c r="V235" s="19" t="str">
        <f aca="false">IF(E235="","",R235-E235)</f>
        <v/>
      </c>
      <c r="W235" s="18" t="s">
        <v>128</v>
      </c>
      <c r="X235" s="4" t="n">
        <f aca="false">IF(AND(D235="Available",R235&gt;=55),ROW(),9999)</f>
        <v>9999</v>
      </c>
      <c r="Y235" s="4" t="n">
        <f aca="false">IF(AND(D235="Available",R235&gt;=40,R235&lt;55),ROW(),9999)</f>
        <v>9999</v>
      </c>
      <c r="Z235" s="4" t="n">
        <f aca="false">IF(AND(D235="Available",R235&gt;=25,R235&lt;40),ROW(),9999)</f>
        <v>9999</v>
      </c>
      <c r="AA235" s="35" t="n">
        <f aca="false">IF(K235="","",IF(L235="",K235,ROUND(AVERAGE(K235,L235),0)))</f>
        <v>101</v>
      </c>
    </row>
    <row r="236" customFormat="false" ht="15" hidden="false" customHeight="false" outlineLevel="0" collapsed="false">
      <c r="A236" s="18" t="s">
        <v>389</v>
      </c>
      <c r="B236" s="19" t="n">
        <f aca="false">R236-N236</f>
        <v>1</v>
      </c>
      <c r="C236" s="18" t="str">
        <f aca="false">IF(B236&gt;=5,"SMASH BUY",IF(B236&gt;=2,"BUY",IF(B236&gt;=-1,"NEUTRAL",IF(B236&gt;=-4,"AVOID","DO NOT BID"))))</f>
        <v>NEUTRAL</v>
      </c>
      <c r="D236" s="18" t="str">
        <f aca="false">IF(COUNTIFS('Auction Log'!$B$5:$B$304,A236,'Auction Log'!$D$5:$D$304,"&lt;&gt;",'Auction Log'!$E$5:$E$304,"&gt;0")=0,"Available",IFERROR(INDEX('Auction Log'!$D$5:$D$304,MATCH(1,('Auction Log'!$B$5:$B$304=A236)*('Auction Log'!$D$5:$D$304&lt;&gt;"")*('Auction Log'!$E$5:$E$304&gt;0),0)),"SOLD"))</f>
        <v>Available</v>
      </c>
      <c r="E236" s="19" t="str">
        <f aca="false">IF(COUNTIFS('Auction Log'!$B$5:$B$304,A236,'Auction Log'!$D$5:$D$304,"&lt;&gt;",'Auction Log'!$E$5:$E$304,"&gt;0")=0,"",IFERROR(INDEX('Auction Log'!$E$5:$E$304,MATCH(1,('Auction Log'!$B$5:$B$304=A236)*('Auction Log'!$D$5:$D$304&lt;&gt;"")*('Auction Log'!$E$5:$E$304&gt;0),0)),""))</f>
        <v/>
      </c>
      <c r="F236" s="18" t="s">
        <v>120</v>
      </c>
      <c r="G236" s="18" t="s">
        <v>21</v>
      </c>
      <c r="H236" s="18" t="n">
        <v>6</v>
      </c>
      <c r="I236" s="18" t="n">
        <v>237</v>
      </c>
      <c r="J236" s="18" t="n">
        <v>11</v>
      </c>
      <c r="K236" s="36"/>
      <c r="L236" s="36" t="n">
        <v>43</v>
      </c>
      <c r="M236" s="19" t="n">
        <v>0</v>
      </c>
      <c r="N236" s="19" t="n">
        <v>0</v>
      </c>
      <c r="O236" s="19" t="n">
        <v>0</v>
      </c>
      <c r="P236" s="19" t="n">
        <v>0</v>
      </c>
      <c r="Q236" s="19" t="n">
        <v>0</v>
      </c>
      <c r="R236" s="19" t="n">
        <v>1</v>
      </c>
      <c r="S236" s="19" t="n">
        <v>1</v>
      </c>
      <c r="T236" s="18" t="s">
        <v>291</v>
      </c>
      <c r="U236" s="32"/>
      <c r="V236" s="19" t="str">
        <f aca="false">IF(E236="","",R236-E236)</f>
        <v/>
      </c>
      <c r="W236" s="18" t="s">
        <v>128</v>
      </c>
      <c r="X236" s="4" t="n">
        <f aca="false">IF(AND(D236="Available",R236&gt;=55),ROW(),9999)</f>
        <v>9999</v>
      </c>
      <c r="Y236" s="4" t="n">
        <f aca="false">IF(AND(D236="Available",R236&gt;=40,R236&lt;55),ROW(),9999)</f>
        <v>9999</v>
      </c>
      <c r="Z236" s="4" t="n">
        <f aca="false">IF(AND(D236="Available",R236&gt;=25,R236&lt;40),ROW(),9999)</f>
        <v>9999</v>
      </c>
      <c r="AA236" s="35" t="str">
        <f aca="false">IF(K236="","",IF(L236="",K236,ROUND(AVERAGE(K236,L236),0)))</f>
        <v/>
      </c>
    </row>
    <row r="237" customFormat="false" ht="15" hidden="false" customHeight="false" outlineLevel="0" collapsed="false">
      <c r="A237" s="18" t="s">
        <v>390</v>
      </c>
      <c r="B237" s="19" t="n">
        <f aca="false">R237-N237</f>
        <v>1</v>
      </c>
      <c r="C237" s="18" t="str">
        <f aca="false">IF(B237&gt;=5,"SMASH BUY",IF(B237&gt;=2,"BUY",IF(B237&gt;=-1,"NEUTRAL",IF(B237&gt;=-4,"AVOID","DO NOT BID"))))</f>
        <v>NEUTRAL</v>
      </c>
      <c r="D237" s="18" t="str">
        <f aca="false">IF(COUNTIFS('Auction Log'!$B$5:$B$304,A237,'Auction Log'!$D$5:$D$304,"&lt;&gt;",'Auction Log'!$E$5:$E$304,"&gt;0")=0,"Available",IFERROR(INDEX('Auction Log'!$D$5:$D$304,MATCH(1,('Auction Log'!$B$5:$B$304=A237)*('Auction Log'!$D$5:$D$304&lt;&gt;"")*('Auction Log'!$E$5:$E$304&gt;0),0)),"SOLD"))</f>
        <v>Available</v>
      </c>
      <c r="E237" s="19" t="str">
        <f aca="false">IF(COUNTIFS('Auction Log'!$B$5:$B$304,A237,'Auction Log'!$D$5:$D$304,"&lt;&gt;",'Auction Log'!$E$5:$E$304,"&gt;0")=0,"",IFERROR(INDEX('Auction Log'!$E$5:$E$304,MATCH(1,('Auction Log'!$B$5:$B$304=A237)*('Auction Log'!$D$5:$D$304&lt;&gt;"")*('Auction Log'!$E$5:$E$304&gt;0),0)),""))</f>
        <v/>
      </c>
      <c r="F237" s="18" t="s">
        <v>141</v>
      </c>
      <c r="G237" s="18" t="s">
        <v>26</v>
      </c>
      <c r="H237" s="18" t="n">
        <v>13</v>
      </c>
      <c r="I237" s="18" t="n">
        <v>238</v>
      </c>
      <c r="J237" s="18" t="n">
        <v>11</v>
      </c>
      <c r="K237" s="36"/>
      <c r="L237" s="36" t="n">
        <v>66</v>
      </c>
      <c r="M237" s="19" t="n">
        <v>0</v>
      </c>
      <c r="N237" s="19" t="n">
        <v>0</v>
      </c>
      <c r="O237" s="19" t="n">
        <v>0</v>
      </c>
      <c r="P237" s="19" t="n">
        <v>0</v>
      </c>
      <c r="Q237" s="19" t="n">
        <v>0</v>
      </c>
      <c r="R237" s="19" t="n">
        <v>1</v>
      </c>
      <c r="S237" s="19" t="n">
        <v>1</v>
      </c>
      <c r="T237" s="18" t="s">
        <v>291</v>
      </c>
      <c r="U237" s="32"/>
      <c r="V237" s="19" t="str">
        <f aca="false">IF(E237="","",R237-E237)</f>
        <v/>
      </c>
      <c r="W237" s="18" t="s">
        <v>128</v>
      </c>
      <c r="X237" s="4" t="n">
        <f aca="false">IF(AND(D237="Available",R237&gt;=55),ROW(),9999)</f>
        <v>9999</v>
      </c>
      <c r="Y237" s="4" t="n">
        <f aca="false">IF(AND(D237="Available",R237&gt;=40,R237&lt;55),ROW(),9999)</f>
        <v>9999</v>
      </c>
      <c r="Z237" s="4" t="n">
        <f aca="false">IF(AND(D237="Available",R237&gt;=25,R237&lt;40),ROW(),9999)</f>
        <v>9999</v>
      </c>
      <c r="AA237" s="35" t="str">
        <f aca="false">IF(K237="","",IF(L237="",K237,ROUND(AVERAGE(K237,L237),0)))</f>
        <v/>
      </c>
    </row>
    <row r="238" customFormat="false" ht="15" hidden="false" customHeight="false" outlineLevel="0" collapsed="false">
      <c r="A238" s="18" t="s">
        <v>391</v>
      </c>
      <c r="B238" s="19" t="n">
        <f aca="false">R238-N238</f>
        <v>1</v>
      </c>
      <c r="C238" s="18" t="str">
        <f aca="false">IF(B238&gt;=5,"SMASH BUY",IF(B238&gt;=2,"BUY",IF(B238&gt;=-1,"NEUTRAL",IF(B238&gt;=-4,"AVOID","DO NOT BID"))))</f>
        <v>NEUTRAL</v>
      </c>
      <c r="D238" s="18" t="str">
        <f aca="false">IF(COUNTIFS('Auction Log'!$B$5:$B$304,A238,'Auction Log'!$D$5:$D$304,"&lt;&gt;",'Auction Log'!$E$5:$E$304,"&gt;0")=0,"Available",IFERROR(INDEX('Auction Log'!$D$5:$D$304,MATCH(1,('Auction Log'!$B$5:$B$304=A238)*('Auction Log'!$D$5:$D$304&lt;&gt;"")*('Auction Log'!$E$5:$E$304&gt;0),0)),"SOLD"))</f>
        <v>Available</v>
      </c>
      <c r="E238" s="19" t="str">
        <f aca="false">IF(COUNTIFS('Auction Log'!$B$5:$B$304,A238,'Auction Log'!$D$5:$D$304,"&lt;&gt;",'Auction Log'!$E$5:$E$304,"&gt;0")=0,"",IFERROR(INDEX('Auction Log'!$E$5:$E$304,MATCH(1,('Auction Log'!$B$5:$B$304=A238)*('Auction Log'!$D$5:$D$304&lt;&gt;"")*('Auction Log'!$E$5:$E$304&gt;0),0)),""))</f>
        <v/>
      </c>
      <c r="F238" s="18" t="s">
        <v>171</v>
      </c>
      <c r="G238" s="18" t="s">
        <v>30</v>
      </c>
      <c r="H238" s="18" t="n">
        <v>10</v>
      </c>
      <c r="I238" s="18" t="n">
        <v>239</v>
      </c>
      <c r="J238" s="18" t="n">
        <v>11</v>
      </c>
      <c r="K238" s="36"/>
      <c r="L238" s="36" t="n">
        <v>107</v>
      </c>
      <c r="M238" s="19" t="n">
        <v>0</v>
      </c>
      <c r="N238" s="19" t="n">
        <v>0</v>
      </c>
      <c r="O238" s="19" t="n">
        <v>0</v>
      </c>
      <c r="P238" s="19" t="n">
        <v>0</v>
      </c>
      <c r="Q238" s="19" t="n">
        <v>0</v>
      </c>
      <c r="R238" s="19" t="n">
        <v>1</v>
      </c>
      <c r="S238" s="19" t="n">
        <v>1</v>
      </c>
      <c r="T238" s="18" t="s">
        <v>291</v>
      </c>
      <c r="U238" s="32"/>
      <c r="V238" s="19" t="str">
        <f aca="false">IF(E238="","",R238-E238)</f>
        <v/>
      </c>
      <c r="W238" s="18" t="s">
        <v>128</v>
      </c>
      <c r="X238" s="4" t="n">
        <f aca="false">IF(AND(D238="Available",R238&gt;=55),ROW(),9999)</f>
        <v>9999</v>
      </c>
      <c r="Y238" s="4" t="n">
        <f aca="false">IF(AND(D238="Available",R238&gt;=40,R238&lt;55),ROW(),9999)</f>
        <v>9999</v>
      </c>
      <c r="Z238" s="4" t="n">
        <f aca="false">IF(AND(D238="Available",R238&gt;=25,R238&lt;40),ROW(),9999)</f>
        <v>9999</v>
      </c>
      <c r="AA238" s="35" t="str">
        <f aca="false">IF(K238="","",IF(L238="",K238,ROUND(AVERAGE(K238,L238),0)))</f>
        <v/>
      </c>
    </row>
    <row r="239" customFormat="false" ht="15" hidden="false" customHeight="false" outlineLevel="0" collapsed="false">
      <c r="A239" s="18" t="s">
        <v>392</v>
      </c>
      <c r="B239" s="19" t="n">
        <f aca="false">R239-N239</f>
        <v>-3</v>
      </c>
      <c r="C239" s="18" t="str">
        <f aca="false">IF(B239&gt;=5,"SMASH BUY",IF(B239&gt;=2,"BUY",IF(B239&gt;=-1,"NEUTRAL",IF(B239&gt;=-4,"AVOID","DO NOT BID"))))</f>
        <v>AVOID</v>
      </c>
      <c r="D239" s="18" t="str">
        <f aca="false">IF(COUNTIFS('Auction Log'!$B$5:$B$304,A239,'Auction Log'!$D$5:$D$304,"&lt;&gt;",'Auction Log'!$E$5:$E$304,"&gt;0")=0,"Available",IFERROR(INDEX('Auction Log'!$D$5:$D$304,MATCH(1,('Auction Log'!$B$5:$B$304=A239)*('Auction Log'!$D$5:$D$304&lt;&gt;"")*('Auction Log'!$E$5:$E$304&gt;0),0)),"SOLD"))</f>
        <v>Available</v>
      </c>
      <c r="E239" s="19" t="str">
        <f aca="false">IF(COUNTIFS('Auction Log'!$B$5:$B$304,A239,'Auction Log'!$D$5:$D$304,"&lt;&gt;",'Auction Log'!$E$5:$E$304,"&gt;0")=0,"",IFERROR(INDEX('Auction Log'!$E$5:$E$304,MATCH(1,('Auction Log'!$B$5:$B$304=A239)*('Auction Log'!$D$5:$D$304&lt;&gt;"")*('Auction Log'!$E$5:$E$304&gt;0),0)),""))</f>
        <v/>
      </c>
      <c r="F239" s="18" t="s">
        <v>132</v>
      </c>
      <c r="G239" s="18" t="s">
        <v>21</v>
      </c>
      <c r="H239" s="18" t="n">
        <v>13</v>
      </c>
      <c r="I239" s="18" t="n">
        <v>240</v>
      </c>
      <c r="J239" s="18" t="n">
        <v>11</v>
      </c>
      <c r="K239" s="36" t="n">
        <v>112</v>
      </c>
      <c r="L239" s="36" t="n">
        <v>114</v>
      </c>
      <c r="M239" s="19" t="n">
        <v>0</v>
      </c>
      <c r="N239" s="19" t="n">
        <v>4</v>
      </c>
      <c r="O239" s="19" t="n">
        <v>-3</v>
      </c>
      <c r="P239" s="19" t="n">
        <v>0</v>
      </c>
      <c r="Q239" s="19" t="n">
        <v>0</v>
      </c>
      <c r="R239" s="19" t="n">
        <v>1</v>
      </c>
      <c r="S239" s="19" t="n">
        <v>1</v>
      </c>
      <c r="T239" s="18" t="s">
        <v>291</v>
      </c>
      <c r="U239" s="32"/>
      <c r="V239" s="19" t="str">
        <f aca="false">IF(E239="","",R239-E239)</f>
        <v/>
      </c>
      <c r="W239" s="18" t="s">
        <v>128</v>
      </c>
      <c r="X239" s="4" t="n">
        <f aca="false">IF(AND(D239="Available",R239&gt;=55),ROW(),9999)</f>
        <v>9999</v>
      </c>
      <c r="Y239" s="4" t="n">
        <f aca="false">IF(AND(D239="Available",R239&gt;=40,R239&lt;55),ROW(),9999)</f>
        <v>9999</v>
      </c>
      <c r="Z239" s="4" t="n">
        <f aca="false">IF(AND(D239="Available",R239&gt;=25,R239&lt;40),ROW(),9999)</f>
        <v>9999</v>
      </c>
      <c r="AA239" s="35" t="n">
        <f aca="false">IF(K239="","",IF(L239="",K239,ROUND(AVERAGE(K239,L239),0)))</f>
        <v>113</v>
      </c>
    </row>
    <row r="240" customFormat="false" ht="15" hidden="false" customHeight="false" outlineLevel="0" collapsed="false">
      <c r="A240" s="18" t="s">
        <v>393</v>
      </c>
      <c r="B240" s="19" t="n">
        <f aca="false">R240-N240</f>
        <v>1</v>
      </c>
      <c r="C240" s="18" t="str">
        <f aca="false">IF(B240&gt;=5,"SMASH BUY",IF(B240&gt;=2,"BUY",IF(B240&gt;=-1,"NEUTRAL",IF(B240&gt;=-4,"AVOID","DO NOT BID"))))</f>
        <v>NEUTRAL</v>
      </c>
      <c r="D240" s="18" t="str">
        <f aca="false">IF(COUNTIFS('Auction Log'!$B$5:$B$304,A240,'Auction Log'!$D$5:$D$304,"&lt;&gt;",'Auction Log'!$E$5:$E$304,"&gt;0")=0,"Available",IFERROR(INDEX('Auction Log'!$D$5:$D$304,MATCH(1,('Auction Log'!$B$5:$B$304=A240)*('Auction Log'!$D$5:$D$304&lt;&gt;"")*('Auction Log'!$E$5:$E$304&gt;0),0)),"SOLD"))</f>
        <v>Available</v>
      </c>
      <c r="E240" s="19" t="str">
        <f aca="false">IF(COUNTIFS('Auction Log'!$B$5:$B$304,A240,'Auction Log'!$D$5:$D$304,"&lt;&gt;",'Auction Log'!$E$5:$E$304,"&gt;0")=0,"",IFERROR(INDEX('Auction Log'!$E$5:$E$304,MATCH(1,('Auction Log'!$B$5:$B$304=A240)*('Auction Log'!$D$5:$D$304&lt;&gt;"")*('Auction Log'!$E$5:$E$304&gt;0),0)),""))</f>
        <v/>
      </c>
      <c r="F240" s="18" t="s">
        <v>144</v>
      </c>
      <c r="G240" s="18" t="s">
        <v>30</v>
      </c>
      <c r="H240" s="18" t="n">
        <v>7</v>
      </c>
      <c r="I240" s="18" t="n">
        <v>241</v>
      </c>
      <c r="J240" s="18" t="n">
        <v>11</v>
      </c>
      <c r="K240" s="36"/>
      <c r="L240" s="36" t="n">
        <v>104</v>
      </c>
      <c r="M240" s="19" t="n">
        <v>0</v>
      </c>
      <c r="N240" s="19" t="n">
        <v>0</v>
      </c>
      <c r="O240" s="19" t="n">
        <v>0</v>
      </c>
      <c r="P240" s="19" t="n">
        <v>0</v>
      </c>
      <c r="Q240" s="19" t="n">
        <v>0</v>
      </c>
      <c r="R240" s="19" t="n">
        <v>1</v>
      </c>
      <c r="S240" s="19" t="n">
        <v>1</v>
      </c>
      <c r="T240" s="18" t="s">
        <v>125</v>
      </c>
      <c r="U240" s="32"/>
      <c r="V240" s="19" t="str">
        <f aca="false">IF(E240="","",R240-E240)</f>
        <v/>
      </c>
      <c r="W240" s="18" t="s">
        <v>128</v>
      </c>
      <c r="X240" s="4" t="n">
        <f aca="false">IF(AND(D240="Available",R240&gt;=55),ROW(),9999)</f>
        <v>9999</v>
      </c>
      <c r="Y240" s="4" t="n">
        <f aca="false">IF(AND(D240="Available",R240&gt;=40,R240&lt;55),ROW(),9999)</f>
        <v>9999</v>
      </c>
      <c r="Z240" s="4" t="n">
        <f aca="false">IF(AND(D240="Available",R240&gt;=25,R240&lt;40),ROW(),9999)</f>
        <v>9999</v>
      </c>
      <c r="AA240" s="35" t="str">
        <f aca="false">IF(K240="","",IF(L240="",K240,ROUND(AVERAGE(K240,L240),0)))</f>
        <v/>
      </c>
    </row>
    <row r="241" customFormat="false" ht="15" hidden="false" customHeight="false" outlineLevel="0" collapsed="false">
      <c r="A241" s="18" t="s">
        <v>394</v>
      </c>
      <c r="B241" s="19" t="n">
        <f aca="false">R241-N241</f>
        <v>-1</v>
      </c>
      <c r="C241" s="18" t="str">
        <f aca="false">IF(B241&gt;=5,"SMASH BUY",IF(B241&gt;=2,"BUY",IF(B241&gt;=-1,"NEUTRAL",IF(B241&gt;=-4,"AVOID","DO NOT BID"))))</f>
        <v>NEUTRAL</v>
      </c>
      <c r="D241" s="18" t="str">
        <f aca="false">IF(COUNTIFS('Auction Log'!$B$5:$B$304,A241,'Auction Log'!$D$5:$D$304,"&lt;&gt;",'Auction Log'!$E$5:$E$304,"&gt;0")=0,"Available",IFERROR(INDEX('Auction Log'!$D$5:$D$304,MATCH(1,('Auction Log'!$B$5:$B$304=A241)*('Auction Log'!$D$5:$D$304&lt;&gt;"")*('Auction Log'!$E$5:$E$304&gt;0),0)),"SOLD"))</f>
        <v>Available</v>
      </c>
      <c r="E241" s="19" t="str">
        <f aca="false">IF(COUNTIFS('Auction Log'!$B$5:$B$304,A241,'Auction Log'!$D$5:$D$304,"&lt;&gt;",'Auction Log'!$E$5:$E$304,"&gt;0")=0,"",IFERROR(INDEX('Auction Log'!$E$5:$E$304,MATCH(1,('Auction Log'!$B$5:$B$304=A241)*('Auction Log'!$D$5:$D$304&lt;&gt;"")*('Auction Log'!$E$5:$E$304&gt;0),0)),""))</f>
        <v/>
      </c>
      <c r="F241" s="18" t="s">
        <v>132</v>
      </c>
      <c r="G241" s="18" t="s">
        <v>26</v>
      </c>
      <c r="H241" s="18" t="n">
        <v>13</v>
      </c>
      <c r="I241" s="18" t="n">
        <v>242</v>
      </c>
      <c r="J241" s="18" t="n">
        <v>11</v>
      </c>
      <c r="K241" s="36" t="n">
        <v>126</v>
      </c>
      <c r="L241" s="36" t="n">
        <v>100</v>
      </c>
      <c r="M241" s="19" t="n">
        <v>0</v>
      </c>
      <c r="N241" s="19" t="n">
        <v>2</v>
      </c>
      <c r="O241" s="19" t="n">
        <v>-3</v>
      </c>
      <c r="P241" s="19" t="n">
        <v>-1</v>
      </c>
      <c r="Q241" s="19" t="n">
        <v>0</v>
      </c>
      <c r="R241" s="19" t="n">
        <v>1</v>
      </c>
      <c r="S241" s="19" t="n">
        <v>1</v>
      </c>
      <c r="T241" s="18" t="s">
        <v>125</v>
      </c>
      <c r="U241" s="32"/>
      <c r="V241" s="19" t="str">
        <f aca="false">IF(E241="","",R241-E241)</f>
        <v/>
      </c>
      <c r="W241" s="18" t="s">
        <v>128</v>
      </c>
      <c r="X241" s="4" t="n">
        <f aca="false">IF(AND(D241="Available",R241&gt;=55),ROW(),9999)</f>
        <v>9999</v>
      </c>
      <c r="Y241" s="4" t="n">
        <f aca="false">IF(AND(D241="Available",R241&gt;=40,R241&lt;55),ROW(),9999)</f>
        <v>9999</v>
      </c>
      <c r="Z241" s="4" t="n">
        <f aca="false">IF(AND(D241="Available",R241&gt;=25,R241&lt;40),ROW(),9999)</f>
        <v>9999</v>
      </c>
      <c r="AA241" s="35" t="n">
        <f aca="false">IF(K241="","",IF(L241="",K241,ROUND(AVERAGE(K241,L241),0)))</f>
        <v>113</v>
      </c>
    </row>
    <row r="242" customFormat="false" ht="15" hidden="false" customHeight="false" outlineLevel="0" collapsed="false">
      <c r="A242" s="18" t="s">
        <v>395</v>
      </c>
      <c r="B242" s="19" t="n">
        <f aca="false">R242-N242</f>
        <v>1</v>
      </c>
      <c r="C242" s="18" t="str">
        <f aca="false">IF(B242&gt;=5,"SMASH BUY",IF(B242&gt;=2,"BUY",IF(B242&gt;=-1,"NEUTRAL",IF(B242&gt;=-4,"AVOID","DO NOT BID"))))</f>
        <v>NEUTRAL</v>
      </c>
      <c r="D242" s="18" t="str">
        <f aca="false">IF(COUNTIFS('Auction Log'!$B$5:$B$304,A242,'Auction Log'!$D$5:$D$304,"&lt;&gt;",'Auction Log'!$E$5:$E$304,"&gt;0")=0,"Available",IFERROR(INDEX('Auction Log'!$D$5:$D$304,MATCH(1,('Auction Log'!$B$5:$B$304=A242)*('Auction Log'!$D$5:$D$304&lt;&gt;"")*('Auction Log'!$E$5:$E$304&gt;0),0)),"SOLD"))</f>
        <v>Available</v>
      </c>
      <c r="E242" s="19" t="str">
        <f aca="false">IF(COUNTIFS('Auction Log'!$B$5:$B$304,A242,'Auction Log'!$D$5:$D$304,"&lt;&gt;",'Auction Log'!$E$5:$E$304,"&gt;0")=0,"",IFERROR(INDEX('Auction Log'!$E$5:$E$304,MATCH(1,('Auction Log'!$B$5:$B$304=A242)*('Auction Log'!$D$5:$D$304&lt;&gt;"")*('Auction Log'!$E$5:$E$304&gt;0),0)),""))</f>
        <v/>
      </c>
      <c r="F242" s="18" t="s">
        <v>104</v>
      </c>
      <c r="G242" s="18" t="s">
        <v>21</v>
      </c>
      <c r="H242" s="18" t="n">
        <v>11</v>
      </c>
      <c r="I242" s="18" t="n">
        <v>243</v>
      </c>
      <c r="J242" s="18" t="n">
        <v>11</v>
      </c>
      <c r="K242" s="36"/>
      <c r="L242" s="36" t="n">
        <v>41</v>
      </c>
      <c r="M242" s="19" t="n">
        <v>0</v>
      </c>
      <c r="N242" s="19" t="n">
        <v>0</v>
      </c>
      <c r="O242" s="19" t="n">
        <v>0</v>
      </c>
      <c r="P242" s="19" t="n">
        <v>0</v>
      </c>
      <c r="Q242" s="19" t="n">
        <v>0</v>
      </c>
      <c r="R242" s="19" t="n">
        <v>1</v>
      </c>
      <c r="S242" s="19" t="n">
        <v>1</v>
      </c>
      <c r="T242" s="18" t="s">
        <v>125</v>
      </c>
      <c r="U242" s="32"/>
      <c r="V242" s="19" t="str">
        <f aca="false">IF(E242="","",R242-E242)</f>
        <v/>
      </c>
      <c r="W242" s="18" t="s">
        <v>128</v>
      </c>
      <c r="X242" s="4" t="n">
        <f aca="false">IF(AND(D242="Available",R242&gt;=55),ROW(),9999)</f>
        <v>9999</v>
      </c>
      <c r="Y242" s="4" t="n">
        <f aca="false">IF(AND(D242="Available",R242&gt;=40,R242&lt;55),ROW(),9999)</f>
        <v>9999</v>
      </c>
      <c r="Z242" s="4" t="n">
        <f aca="false">IF(AND(D242="Available",R242&gt;=25,R242&lt;40),ROW(),9999)</f>
        <v>9999</v>
      </c>
      <c r="AA242" s="35" t="str">
        <f aca="false">IF(K242="","",IF(L242="",K242,ROUND(AVERAGE(K242,L242),0)))</f>
        <v/>
      </c>
    </row>
    <row r="243" customFormat="false" ht="15" hidden="false" customHeight="false" outlineLevel="0" collapsed="false">
      <c r="A243" s="18" t="s">
        <v>396</v>
      </c>
      <c r="B243" s="19" t="n">
        <f aca="false">R243-N243</f>
        <v>1</v>
      </c>
      <c r="C243" s="18" t="str">
        <f aca="false">IF(B243&gt;=5,"SMASH BUY",IF(B243&gt;=2,"BUY",IF(B243&gt;=-1,"NEUTRAL",IF(B243&gt;=-4,"AVOID","DO NOT BID"))))</f>
        <v>NEUTRAL</v>
      </c>
      <c r="D243" s="18" t="str">
        <f aca="false">IF(COUNTIFS('Auction Log'!$B$5:$B$304,A243,'Auction Log'!$D$5:$D$304,"&lt;&gt;",'Auction Log'!$E$5:$E$304,"&gt;0")=0,"Available",IFERROR(INDEX('Auction Log'!$D$5:$D$304,MATCH(1,('Auction Log'!$B$5:$B$304=A243)*('Auction Log'!$D$5:$D$304&lt;&gt;"")*('Auction Log'!$E$5:$E$304&gt;0),0)),"SOLD"))</f>
        <v>Available</v>
      </c>
      <c r="E243" s="19" t="str">
        <f aca="false">IF(COUNTIFS('Auction Log'!$B$5:$B$304,A243,'Auction Log'!$D$5:$D$304,"&lt;&gt;",'Auction Log'!$E$5:$E$304,"&gt;0")=0,"",IFERROR(INDEX('Auction Log'!$E$5:$E$304,MATCH(1,('Auction Log'!$B$5:$B$304=A243)*('Auction Log'!$D$5:$D$304&lt;&gt;"")*('Auction Log'!$E$5:$E$304&gt;0),0)),""))</f>
        <v/>
      </c>
      <c r="F243" s="18" t="s">
        <v>120</v>
      </c>
      <c r="G243" s="18" t="s">
        <v>21</v>
      </c>
      <c r="H243" s="18" t="n">
        <v>6</v>
      </c>
      <c r="I243" s="18" t="n">
        <v>244</v>
      </c>
      <c r="J243" s="18" t="n">
        <v>11</v>
      </c>
      <c r="K243" s="36"/>
      <c r="L243" s="36" t="n">
        <v>35</v>
      </c>
      <c r="M243" s="19" t="n">
        <v>0</v>
      </c>
      <c r="N243" s="19" t="n">
        <v>0</v>
      </c>
      <c r="O243" s="19" t="n">
        <v>0</v>
      </c>
      <c r="P243" s="19" t="n">
        <v>0</v>
      </c>
      <c r="Q243" s="19" t="n">
        <v>0</v>
      </c>
      <c r="R243" s="19" t="n">
        <v>1</v>
      </c>
      <c r="S243" s="19" t="n">
        <v>1</v>
      </c>
      <c r="T243" s="18" t="s">
        <v>125</v>
      </c>
      <c r="U243" s="32"/>
      <c r="V243" s="19" t="str">
        <f aca="false">IF(E243="","",R243-E243)</f>
        <v/>
      </c>
      <c r="W243" s="18" t="s">
        <v>128</v>
      </c>
      <c r="X243" s="4" t="n">
        <f aca="false">IF(AND(D243="Available",R243&gt;=55),ROW(),9999)</f>
        <v>9999</v>
      </c>
      <c r="Y243" s="4" t="n">
        <f aca="false">IF(AND(D243="Available",R243&gt;=40,R243&lt;55),ROW(),9999)</f>
        <v>9999</v>
      </c>
      <c r="Z243" s="4" t="n">
        <f aca="false">IF(AND(D243="Available",R243&gt;=25,R243&lt;40),ROW(),9999)</f>
        <v>9999</v>
      </c>
      <c r="AA243" s="35" t="str">
        <f aca="false">IF(K243="","",IF(L243="",K243,ROUND(AVERAGE(K243,L243),0)))</f>
        <v/>
      </c>
    </row>
    <row r="244" customFormat="false" ht="15" hidden="false" customHeight="false" outlineLevel="0" collapsed="false">
      <c r="A244" s="18" t="s">
        <v>397</v>
      </c>
      <c r="B244" s="19" t="n">
        <f aca="false">R244-N244</f>
        <v>1</v>
      </c>
      <c r="C244" s="18" t="str">
        <f aca="false">IF(B244&gt;=5,"SMASH BUY",IF(B244&gt;=2,"BUY",IF(B244&gt;=-1,"NEUTRAL",IF(B244&gt;=-4,"AVOID","DO NOT BID"))))</f>
        <v>NEUTRAL</v>
      </c>
      <c r="D244" s="18" t="str">
        <f aca="false">IF(COUNTIFS('Auction Log'!$B$5:$B$304,A244,'Auction Log'!$D$5:$D$304,"&lt;&gt;",'Auction Log'!$E$5:$E$304,"&gt;0")=0,"Available",IFERROR(INDEX('Auction Log'!$D$5:$D$304,MATCH(1,('Auction Log'!$B$5:$B$304=A244)*('Auction Log'!$D$5:$D$304&lt;&gt;"")*('Auction Log'!$E$5:$E$304&gt;0),0)),"SOLD"))</f>
        <v>Available</v>
      </c>
      <c r="E244" s="19" t="str">
        <f aca="false">IF(COUNTIFS('Auction Log'!$B$5:$B$304,A244,'Auction Log'!$D$5:$D$304,"&lt;&gt;",'Auction Log'!$E$5:$E$304,"&gt;0")=0,"",IFERROR(INDEX('Auction Log'!$E$5:$E$304,MATCH(1,('Auction Log'!$B$5:$B$304=A244)*('Auction Log'!$D$5:$D$304&lt;&gt;"")*('Auction Log'!$E$5:$E$304&gt;0),0)),""))</f>
        <v/>
      </c>
      <c r="F244" s="18" t="s">
        <v>150</v>
      </c>
      <c r="G244" s="18" t="s">
        <v>26</v>
      </c>
      <c r="H244" s="18" t="n">
        <v>8</v>
      </c>
      <c r="I244" s="18" t="n">
        <v>245</v>
      </c>
      <c r="J244" s="18" t="n">
        <v>11</v>
      </c>
      <c r="K244" s="36"/>
      <c r="L244" s="36" t="n">
        <v>60</v>
      </c>
      <c r="M244" s="19" t="n">
        <v>0</v>
      </c>
      <c r="N244" s="19" t="n">
        <v>0</v>
      </c>
      <c r="O244" s="19" t="n">
        <v>0</v>
      </c>
      <c r="P244" s="19" t="n">
        <v>0</v>
      </c>
      <c r="Q244" s="19" t="n">
        <v>0</v>
      </c>
      <c r="R244" s="19" t="n">
        <v>1</v>
      </c>
      <c r="S244" s="19" t="n">
        <v>1</v>
      </c>
      <c r="T244" s="18" t="s">
        <v>125</v>
      </c>
      <c r="U244" s="32"/>
      <c r="V244" s="19" t="str">
        <f aca="false">IF(E244="","",R244-E244)</f>
        <v/>
      </c>
      <c r="W244" s="18" t="s">
        <v>128</v>
      </c>
      <c r="X244" s="4" t="n">
        <f aca="false">IF(AND(D244="Available",R244&gt;=55),ROW(),9999)</f>
        <v>9999</v>
      </c>
      <c r="Y244" s="4" t="n">
        <f aca="false">IF(AND(D244="Available",R244&gt;=40,R244&lt;55),ROW(),9999)</f>
        <v>9999</v>
      </c>
      <c r="Z244" s="4" t="n">
        <f aca="false">IF(AND(D244="Available",R244&gt;=25,R244&lt;40),ROW(),9999)</f>
        <v>9999</v>
      </c>
      <c r="AA244" s="35" t="str">
        <f aca="false">IF(K244="","",IF(L244="",K244,ROUND(AVERAGE(K244,L244),0)))</f>
        <v/>
      </c>
    </row>
    <row r="245" customFormat="false" ht="15" hidden="false" customHeight="false" outlineLevel="0" collapsed="false">
      <c r="A245" s="18" t="s">
        <v>398</v>
      </c>
      <c r="B245" s="19" t="n">
        <f aca="false">R245-N245</f>
        <v>0</v>
      </c>
      <c r="C245" s="18" t="str">
        <f aca="false">IF(B245&gt;=5,"SMASH BUY",IF(B245&gt;=2,"BUY",IF(B245&gt;=-1,"NEUTRAL",IF(B245&gt;=-4,"AVOID","DO NOT BID"))))</f>
        <v>NEUTRAL</v>
      </c>
      <c r="D245" s="18" t="str">
        <f aca="false">IF(COUNTIFS('Auction Log'!$B$5:$B$304,A245,'Auction Log'!$D$5:$D$304,"&lt;&gt;",'Auction Log'!$E$5:$E$304,"&gt;0")=0,"Available",IFERROR(INDEX('Auction Log'!$D$5:$D$304,MATCH(1,('Auction Log'!$B$5:$B$304=A245)*('Auction Log'!$D$5:$D$304&lt;&gt;"")*('Auction Log'!$E$5:$E$304&gt;0),0)),"SOLD"))</f>
        <v>Available</v>
      </c>
      <c r="E245" s="19" t="str">
        <f aca="false">IF(COUNTIFS('Auction Log'!$B$5:$B$304,A245,'Auction Log'!$D$5:$D$304,"&lt;&gt;",'Auction Log'!$E$5:$E$304,"&gt;0")=0,"",IFERROR(INDEX('Auction Log'!$E$5:$E$304,MATCH(1,('Auction Log'!$B$5:$B$304=A245)*('Auction Log'!$D$5:$D$304&lt;&gt;"")*('Auction Log'!$E$5:$E$304&gt;0),0)),""))</f>
        <v/>
      </c>
      <c r="F245" s="18" t="s">
        <v>124</v>
      </c>
      <c r="G245" s="18" t="s">
        <v>37</v>
      </c>
      <c r="H245" s="18" t="n">
        <v>5</v>
      </c>
      <c r="I245" s="18" t="n">
        <v>246</v>
      </c>
      <c r="J245" s="18" t="n">
        <v>11</v>
      </c>
      <c r="K245" s="36" t="n">
        <v>132</v>
      </c>
      <c r="L245" s="36"/>
      <c r="M245" s="19" t="n">
        <v>0</v>
      </c>
      <c r="N245" s="19" t="n">
        <v>1</v>
      </c>
      <c r="O245" s="19" t="n">
        <v>-3</v>
      </c>
      <c r="P245" s="19" t="n">
        <v>0</v>
      </c>
      <c r="Q245" s="19" t="n">
        <v>0</v>
      </c>
      <c r="R245" s="19" t="n">
        <v>1</v>
      </c>
      <c r="S245" s="19" t="n">
        <v>1</v>
      </c>
      <c r="T245" s="18" t="s">
        <v>125</v>
      </c>
      <c r="U245" s="32"/>
      <c r="V245" s="19" t="str">
        <f aca="false">IF(E245="","",R245-E245)</f>
        <v/>
      </c>
      <c r="W245" s="18" t="s">
        <v>128</v>
      </c>
      <c r="X245" s="4" t="n">
        <f aca="false">IF(AND(D245="Available",R245&gt;=55),ROW(),9999)</f>
        <v>9999</v>
      </c>
      <c r="Y245" s="4" t="n">
        <f aca="false">IF(AND(D245="Available",R245&gt;=40,R245&lt;55),ROW(),9999)</f>
        <v>9999</v>
      </c>
      <c r="Z245" s="4" t="n">
        <f aca="false">IF(AND(D245="Available",R245&gt;=25,R245&lt;40),ROW(),9999)</f>
        <v>9999</v>
      </c>
      <c r="AA245" s="35" t="n">
        <f aca="false">IF(K245="","",IF(L245="",K245,ROUND(AVERAGE(K245,L245),0)))</f>
        <v>132</v>
      </c>
    </row>
    <row r="246" customFormat="false" ht="15" hidden="false" customHeight="false" outlineLevel="0" collapsed="false">
      <c r="A246" s="18" t="s">
        <v>399</v>
      </c>
      <c r="B246" s="19" t="n">
        <f aca="false">R246-N246</f>
        <v>1</v>
      </c>
      <c r="C246" s="18" t="str">
        <f aca="false">IF(B246&gt;=5,"SMASH BUY",IF(B246&gt;=2,"BUY",IF(B246&gt;=-1,"NEUTRAL",IF(B246&gt;=-4,"AVOID","DO NOT BID"))))</f>
        <v>NEUTRAL</v>
      </c>
      <c r="D246" s="18" t="str">
        <f aca="false">IF(COUNTIFS('Auction Log'!$B$5:$B$304,A246,'Auction Log'!$D$5:$D$304,"&lt;&gt;",'Auction Log'!$E$5:$E$304,"&gt;0")=0,"Available",IFERROR(INDEX('Auction Log'!$D$5:$D$304,MATCH(1,('Auction Log'!$B$5:$B$304=A246)*('Auction Log'!$D$5:$D$304&lt;&gt;"")*('Auction Log'!$E$5:$E$304&gt;0),0)),"SOLD"))</f>
        <v>Available</v>
      </c>
      <c r="E246" s="19" t="str">
        <f aca="false">IF(COUNTIFS('Auction Log'!$B$5:$B$304,A246,'Auction Log'!$D$5:$D$304,"&lt;&gt;",'Auction Log'!$E$5:$E$304,"&gt;0")=0,"",IFERROR(INDEX('Auction Log'!$E$5:$E$304,MATCH(1,('Auction Log'!$B$5:$B$304=A246)*('Auction Log'!$D$5:$D$304&lt;&gt;"")*('Auction Log'!$E$5:$E$304&gt;0),0)),""))</f>
        <v/>
      </c>
      <c r="F246" s="18" t="s">
        <v>141</v>
      </c>
      <c r="G246" s="18" t="s">
        <v>16</v>
      </c>
      <c r="H246" s="18" t="n">
        <v>13</v>
      </c>
      <c r="I246" s="18" t="n">
        <v>247</v>
      </c>
      <c r="J246" s="18" t="n">
        <v>11</v>
      </c>
      <c r="K246" s="36"/>
      <c r="L246" s="36" t="n">
        <v>187</v>
      </c>
      <c r="M246" s="19" t="n">
        <v>0</v>
      </c>
      <c r="N246" s="19" t="n">
        <v>0</v>
      </c>
      <c r="O246" s="19" t="n">
        <v>0</v>
      </c>
      <c r="P246" s="19" t="n">
        <v>0</v>
      </c>
      <c r="Q246" s="19" t="n">
        <v>0</v>
      </c>
      <c r="R246" s="19" t="n">
        <v>1</v>
      </c>
      <c r="S246" s="19" t="n">
        <v>1</v>
      </c>
      <c r="T246" s="18" t="s">
        <v>125</v>
      </c>
      <c r="U246" s="32"/>
      <c r="V246" s="19" t="str">
        <f aca="false">IF(E246="","",R246-E246)</f>
        <v/>
      </c>
      <c r="W246" s="18" t="s">
        <v>128</v>
      </c>
      <c r="X246" s="4" t="n">
        <f aca="false">IF(AND(D246="Available",R246&gt;=55),ROW(),9999)</f>
        <v>9999</v>
      </c>
      <c r="Y246" s="4" t="n">
        <f aca="false">IF(AND(D246="Available",R246&gt;=40,R246&lt;55),ROW(),9999)</f>
        <v>9999</v>
      </c>
      <c r="Z246" s="4" t="n">
        <f aca="false">IF(AND(D246="Available",R246&gt;=25,R246&lt;40),ROW(),9999)</f>
        <v>9999</v>
      </c>
      <c r="AA246" s="35" t="str">
        <f aca="false">IF(K246="","",IF(L246="",K246,ROUND(AVERAGE(K246,L246),0)))</f>
        <v/>
      </c>
    </row>
    <row r="247" customFormat="false" ht="15" hidden="false" customHeight="false" outlineLevel="0" collapsed="false">
      <c r="A247" s="18" t="s">
        <v>400</v>
      </c>
      <c r="B247" s="19" t="n">
        <f aca="false">R247-N247</f>
        <v>1</v>
      </c>
      <c r="C247" s="18" t="str">
        <f aca="false">IF(B247&gt;=5,"SMASH BUY",IF(B247&gt;=2,"BUY",IF(B247&gt;=-1,"NEUTRAL",IF(B247&gt;=-4,"AVOID","DO NOT BID"))))</f>
        <v>NEUTRAL</v>
      </c>
      <c r="D247" s="18" t="str">
        <f aca="false">IF(COUNTIFS('Auction Log'!$B$5:$B$304,A247,'Auction Log'!$D$5:$D$304,"&lt;&gt;",'Auction Log'!$E$5:$E$304,"&gt;0")=0,"Available",IFERROR(INDEX('Auction Log'!$D$5:$D$304,MATCH(1,('Auction Log'!$B$5:$B$304=A247)*('Auction Log'!$D$5:$D$304&lt;&gt;"")*('Auction Log'!$E$5:$E$304&gt;0),0)),"SOLD"))</f>
        <v>Available</v>
      </c>
      <c r="E247" s="19" t="str">
        <f aca="false">IF(COUNTIFS('Auction Log'!$B$5:$B$304,A247,'Auction Log'!$D$5:$D$304,"&lt;&gt;",'Auction Log'!$E$5:$E$304,"&gt;0")=0,"",IFERROR(INDEX('Auction Log'!$E$5:$E$304,MATCH(1,('Auction Log'!$B$5:$B$304=A247)*('Auction Log'!$D$5:$D$304&lt;&gt;"")*('Auction Log'!$E$5:$E$304&gt;0),0)),""))</f>
        <v/>
      </c>
      <c r="F247" s="18" t="s">
        <v>202</v>
      </c>
      <c r="G247" s="18" t="s">
        <v>26</v>
      </c>
      <c r="H247" s="18" t="n">
        <v>9</v>
      </c>
      <c r="I247" s="18" t="n">
        <v>248</v>
      </c>
      <c r="J247" s="18" t="n">
        <v>11</v>
      </c>
      <c r="K247" s="36"/>
      <c r="L247" s="36" t="n">
        <v>39</v>
      </c>
      <c r="M247" s="19" t="n">
        <v>0</v>
      </c>
      <c r="N247" s="19" t="n">
        <v>0</v>
      </c>
      <c r="O247" s="19" t="n">
        <v>0</v>
      </c>
      <c r="P247" s="19" t="n">
        <v>0</v>
      </c>
      <c r="Q247" s="19" t="n">
        <v>0</v>
      </c>
      <c r="R247" s="19" t="n">
        <v>1</v>
      </c>
      <c r="S247" s="19" t="n">
        <v>1</v>
      </c>
      <c r="T247" s="18" t="s">
        <v>125</v>
      </c>
      <c r="U247" s="32"/>
      <c r="V247" s="19" t="str">
        <f aca="false">IF(E247="","",R247-E247)</f>
        <v/>
      </c>
      <c r="W247" s="18" t="s">
        <v>128</v>
      </c>
      <c r="X247" s="4" t="n">
        <f aca="false">IF(AND(D247="Available",R247&gt;=55),ROW(),9999)</f>
        <v>9999</v>
      </c>
      <c r="Y247" s="4" t="n">
        <f aca="false">IF(AND(D247="Available",R247&gt;=40,R247&lt;55),ROW(),9999)</f>
        <v>9999</v>
      </c>
      <c r="Z247" s="4" t="n">
        <f aca="false">IF(AND(D247="Available",R247&gt;=25,R247&lt;40),ROW(),9999)</f>
        <v>9999</v>
      </c>
      <c r="AA247" s="35" t="str">
        <f aca="false">IF(K247="","",IF(L247="",K247,ROUND(AVERAGE(K247,L247),0)))</f>
        <v/>
      </c>
    </row>
    <row r="248" customFormat="false" ht="15" hidden="false" customHeight="false" outlineLevel="0" collapsed="false">
      <c r="A248" s="18" t="s">
        <v>401</v>
      </c>
      <c r="B248" s="19" t="n">
        <f aca="false">R248-N248</f>
        <v>1</v>
      </c>
      <c r="C248" s="18" t="str">
        <f aca="false">IF(B248&gt;=5,"SMASH BUY",IF(B248&gt;=2,"BUY",IF(B248&gt;=-1,"NEUTRAL",IF(B248&gt;=-4,"AVOID","DO NOT BID"))))</f>
        <v>NEUTRAL</v>
      </c>
      <c r="D248" s="18" t="str">
        <f aca="false">IF(COUNTIFS('Auction Log'!$B$5:$B$304,A248,'Auction Log'!$D$5:$D$304,"&lt;&gt;",'Auction Log'!$E$5:$E$304,"&gt;0")=0,"Available",IFERROR(INDEX('Auction Log'!$D$5:$D$304,MATCH(1,('Auction Log'!$B$5:$B$304=A248)*('Auction Log'!$D$5:$D$304&lt;&gt;"")*('Auction Log'!$E$5:$E$304&gt;0),0)),"SOLD"))</f>
        <v>Available</v>
      </c>
      <c r="E248" s="19" t="str">
        <f aca="false">IF(COUNTIFS('Auction Log'!$B$5:$B$304,A248,'Auction Log'!$D$5:$D$304,"&lt;&gt;",'Auction Log'!$E$5:$E$304,"&gt;0")=0,"",IFERROR(INDEX('Auction Log'!$E$5:$E$304,MATCH(1,('Auction Log'!$B$5:$B$304=A248)*('Auction Log'!$D$5:$D$304&lt;&gt;"")*('Auction Log'!$E$5:$E$304&gt;0),0)),""))</f>
        <v/>
      </c>
      <c r="F248" s="18" t="s">
        <v>122</v>
      </c>
      <c r="G248" s="18" t="s">
        <v>26</v>
      </c>
      <c r="H248" s="18" t="n">
        <v>7</v>
      </c>
      <c r="I248" s="18" t="n">
        <v>249</v>
      </c>
      <c r="J248" s="18" t="n">
        <v>11</v>
      </c>
      <c r="K248" s="36"/>
      <c r="L248" s="36" t="n">
        <v>75</v>
      </c>
      <c r="M248" s="19" t="n">
        <v>0</v>
      </c>
      <c r="N248" s="19" t="n">
        <v>0</v>
      </c>
      <c r="O248" s="19" t="n">
        <v>0</v>
      </c>
      <c r="P248" s="19" t="n">
        <v>0</v>
      </c>
      <c r="Q248" s="19" t="n">
        <v>0</v>
      </c>
      <c r="R248" s="19" t="n">
        <v>1</v>
      </c>
      <c r="S248" s="19" t="n">
        <v>1</v>
      </c>
      <c r="T248" s="18" t="s">
        <v>125</v>
      </c>
      <c r="U248" s="32"/>
      <c r="V248" s="19" t="str">
        <f aca="false">IF(E248="","",R248-E248)</f>
        <v/>
      </c>
      <c r="W248" s="18" t="s">
        <v>128</v>
      </c>
      <c r="X248" s="4" t="n">
        <f aca="false">IF(AND(D248="Available",R248&gt;=55),ROW(),9999)</f>
        <v>9999</v>
      </c>
      <c r="Y248" s="4" t="n">
        <f aca="false">IF(AND(D248="Available",R248&gt;=40,R248&lt;55),ROW(),9999)</f>
        <v>9999</v>
      </c>
      <c r="Z248" s="4" t="n">
        <f aca="false">IF(AND(D248="Available",R248&gt;=25,R248&lt;40),ROW(),9999)</f>
        <v>9999</v>
      </c>
      <c r="AA248" s="35" t="str">
        <f aca="false">IF(K248="","",IF(L248="",K248,ROUND(AVERAGE(K248,L248),0)))</f>
        <v/>
      </c>
    </row>
    <row r="249" customFormat="false" ht="15" hidden="false" customHeight="false" outlineLevel="0" collapsed="false">
      <c r="A249" s="18" t="s">
        <v>402</v>
      </c>
      <c r="B249" s="19" t="n">
        <f aca="false">R249-N249</f>
        <v>0</v>
      </c>
      <c r="C249" s="18" t="str">
        <f aca="false">IF(B249&gt;=5,"SMASH BUY",IF(B249&gt;=2,"BUY",IF(B249&gt;=-1,"NEUTRAL",IF(B249&gt;=-4,"AVOID","DO NOT BID"))))</f>
        <v>NEUTRAL</v>
      </c>
      <c r="D249" s="18" t="str">
        <f aca="false">IF(COUNTIFS('Auction Log'!$B$5:$B$304,A249,'Auction Log'!$D$5:$D$304,"&lt;&gt;",'Auction Log'!$E$5:$E$304,"&gt;0")=0,"Available",IFERROR(INDEX('Auction Log'!$D$5:$D$304,MATCH(1,('Auction Log'!$B$5:$B$304=A249)*('Auction Log'!$D$5:$D$304&lt;&gt;"")*('Auction Log'!$E$5:$E$304&gt;0),0)),"SOLD"))</f>
        <v>Available</v>
      </c>
      <c r="E249" s="19" t="str">
        <f aca="false">IF(COUNTIFS('Auction Log'!$B$5:$B$304,A249,'Auction Log'!$D$5:$D$304,"&lt;&gt;",'Auction Log'!$E$5:$E$304,"&gt;0")=0,"",IFERROR(INDEX('Auction Log'!$E$5:$E$304,MATCH(1,('Auction Log'!$B$5:$B$304=A249)*('Auction Log'!$D$5:$D$304&lt;&gt;"")*('Auction Log'!$E$5:$E$304&gt;0),0)),""))</f>
        <v/>
      </c>
      <c r="F249" s="18" t="s">
        <v>120</v>
      </c>
      <c r="G249" s="18" t="s">
        <v>30</v>
      </c>
      <c r="H249" s="18" t="n">
        <v>6</v>
      </c>
      <c r="I249" s="18" t="n">
        <v>250</v>
      </c>
      <c r="J249" s="18" t="n">
        <v>11</v>
      </c>
      <c r="K249" s="36" t="n">
        <v>134</v>
      </c>
      <c r="L249" s="36" t="n">
        <v>119</v>
      </c>
      <c r="M249" s="19" t="n">
        <v>0</v>
      </c>
      <c r="N249" s="19" t="n">
        <v>1</v>
      </c>
      <c r="O249" s="19" t="n">
        <v>-3</v>
      </c>
      <c r="P249" s="19" t="n">
        <v>0</v>
      </c>
      <c r="Q249" s="19" t="n">
        <v>0</v>
      </c>
      <c r="R249" s="19" t="n">
        <v>1</v>
      </c>
      <c r="S249" s="19" t="n">
        <v>1</v>
      </c>
      <c r="T249" s="18" t="s">
        <v>125</v>
      </c>
      <c r="U249" s="32"/>
      <c r="V249" s="19" t="str">
        <f aca="false">IF(E249="","",R249-E249)</f>
        <v/>
      </c>
      <c r="W249" s="18" t="s">
        <v>128</v>
      </c>
      <c r="X249" s="4" t="n">
        <f aca="false">IF(AND(D249="Available",R249&gt;=55),ROW(),9999)</f>
        <v>9999</v>
      </c>
      <c r="Y249" s="4" t="n">
        <f aca="false">IF(AND(D249="Available",R249&gt;=40,R249&lt;55),ROW(),9999)</f>
        <v>9999</v>
      </c>
      <c r="Z249" s="4" t="n">
        <f aca="false">IF(AND(D249="Available",R249&gt;=25,R249&lt;40),ROW(),9999)</f>
        <v>9999</v>
      </c>
      <c r="AA249" s="35" t="n">
        <f aca="false">IF(K249="","",IF(L249="",K249,ROUND(AVERAGE(K249,L249),0)))</f>
        <v>127</v>
      </c>
    </row>
    <row r="250" customFormat="false" ht="15" hidden="false" customHeight="false" outlineLevel="0" collapsed="false">
      <c r="A250" s="18" t="s">
        <v>403</v>
      </c>
      <c r="B250" s="19" t="n">
        <f aca="false">R250-N250</f>
        <v>1</v>
      </c>
      <c r="C250" s="18" t="str">
        <f aca="false">IF(B250&gt;=5,"SMASH BUY",IF(B250&gt;=2,"BUY",IF(B250&gt;=-1,"NEUTRAL",IF(B250&gt;=-4,"AVOID","DO NOT BID"))))</f>
        <v>NEUTRAL</v>
      </c>
      <c r="D250" s="18" t="str">
        <f aca="false">IF(COUNTIFS('Auction Log'!$B$5:$B$304,A250,'Auction Log'!$D$5:$D$304,"&lt;&gt;",'Auction Log'!$E$5:$E$304,"&gt;0")=0,"Available",IFERROR(INDEX('Auction Log'!$D$5:$D$304,MATCH(1,('Auction Log'!$B$5:$B$304=A250)*('Auction Log'!$D$5:$D$304&lt;&gt;"")*('Auction Log'!$E$5:$E$304&gt;0),0)),"SOLD"))</f>
        <v>Available</v>
      </c>
      <c r="E250" s="19" t="str">
        <f aca="false">IF(COUNTIFS('Auction Log'!$B$5:$B$304,A250,'Auction Log'!$D$5:$D$304,"&lt;&gt;",'Auction Log'!$E$5:$E$304,"&gt;0")=0,"",IFERROR(INDEX('Auction Log'!$E$5:$E$304,MATCH(1,('Auction Log'!$B$5:$B$304=A250)*('Auction Log'!$D$5:$D$304&lt;&gt;"")*('Auction Log'!$E$5:$E$304&gt;0),0)),""))</f>
        <v/>
      </c>
      <c r="F250" s="18" t="s">
        <v>120</v>
      </c>
      <c r="G250" s="18" t="s">
        <v>26</v>
      </c>
      <c r="H250" s="18" t="n">
        <v>6</v>
      </c>
      <c r="I250" s="18" t="n">
        <v>251</v>
      </c>
      <c r="J250" s="18" t="n">
        <v>11</v>
      </c>
      <c r="K250" s="36"/>
      <c r="L250" s="36" t="n">
        <v>61</v>
      </c>
      <c r="M250" s="19" t="n">
        <v>0</v>
      </c>
      <c r="N250" s="19" t="n">
        <v>0</v>
      </c>
      <c r="O250" s="19" t="n">
        <v>0</v>
      </c>
      <c r="P250" s="19" t="n">
        <v>0</v>
      </c>
      <c r="Q250" s="19" t="n">
        <v>0</v>
      </c>
      <c r="R250" s="19" t="n">
        <v>1</v>
      </c>
      <c r="S250" s="19" t="n">
        <v>1</v>
      </c>
      <c r="T250" s="18" t="s">
        <v>125</v>
      </c>
      <c r="U250" s="32"/>
      <c r="V250" s="19" t="str">
        <f aca="false">IF(E250="","",R250-E250)</f>
        <v/>
      </c>
      <c r="W250" s="18" t="s">
        <v>128</v>
      </c>
      <c r="X250" s="4" t="n">
        <f aca="false">IF(AND(D250="Available",R250&gt;=55),ROW(),9999)</f>
        <v>9999</v>
      </c>
      <c r="Y250" s="4" t="n">
        <f aca="false">IF(AND(D250="Available",R250&gt;=40,R250&lt;55),ROW(),9999)</f>
        <v>9999</v>
      </c>
      <c r="Z250" s="4" t="n">
        <f aca="false">IF(AND(D250="Available",R250&gt;=25,R250&lt;40),ROW(),9999)</f>
        <v>9999</v>
      </c>
      <c r="AA250" s="35" t="str">
        <f aca="false">IF(K250="","",IF(L250="",K250,ROUND(AVERAGE(K250,L250),0)))</f>
        <v/>
      </c>
    </row>
    <row r="251" customFormat="false" ht="15" hidden="false" customHeight="false" outlineLevel="0" collapsed="false">
      <c r="A251" s="18" t="s">
        <v>404</v>
      </c>
      <c r="B251" s="19" t="n">
        <f aca="false">R251-N251</f>
        <v>-1</v>
      </c>
      <c r="C251" s="18" t="str">
        <f aca="false">IF(B251&gt;=5,"SMASH BUY",IF(B251&gt;=2,"BUY",IF(B251&gt;=-1,"NEUTRAL",IF(B251&gt;=-4,"AVOID","DO NOT BID"))))</f>
        <v>NEUTRAL</v>
      </c>
      <c r="D251" s="18" t="str">
        <f aca="false">IF(COUNTIFS('Auction Log'!$B$5:$B$304,A251,'Auction Log'!$D$5:$D$304,"&lt;&gt;",'Auction Log'!$E$5:$E$304,"&gt;0")=0,"Available",IFERROR(INDEX('Auction Log'!$D$5:$D$304,MATCH(1,('Auction Log'!$B$5:$B$304=A251)*('Auction Log'!$D$5:$D$304&lt;&gt;"")*('Auction Log'!$E$5:$E$304&gt;0),0)),"SOLD"))</f>
        <v>Available</v>
      </c>
      <c r="E251" s="19" t="str">
        <f aca="false">IF(COUNTIFS('Auction Log'!$B$5:$B$304,A251,'Auction Log'!$D$5:$D$304,"&lt;&gt;",'Auction Log'!$E$5:$E$304,"&gt;0")=0,"",IFERROR(INDEX('Auction Log'!$E$5:$E$304,MATCH(1,('Auction Log'!$B$5:$B$304=A251)*('Auction Log'!$D$5:$D$304&lt;&gt;"")*('Auction Log'!$E$5:$E$304&gt;0),0)),""))</f>
        <v/>
      </c>
      <c r="F251" s="18" t="s">
        <v>128</v>
      </c>
      <c r="G251" s="18" t="s">
        <v>26</v>
      </c>
      <c r="H251" s="18" t="n">
        <v>8</v>
      </c>
      <c r="I251" s="18" t="n">
        <v>253</v>
      </c>
      <c r="J251" s="18" t="n">
        <v>11</v>
      </c>
      <c r="K251" s="36" t="n">
        <v>126</v>
      </c>
      <c r="L251" s="36" t="n">
        <v>124</v>
      </c>
      <c r="M251" s="19" t="n">
        <v>0</v>
      </c>
      <c r="N251" s="19" t="n">
        <v>2</v>
      </c>
      <c r="O251" s="19" t="n">
        <v>-3</v>
      </c>
      <c r="P251" s="19" t="n">
        <v>-1</v>
      </c>
      <c r="Q251" s="19" t="n">
        <v>0</v>
      </c>
      <c r="R251" s="19" t="n">
        <v>1</v>
      </c>
      <c r="S251" s="19" t="n">
        <v>1</v>
      </c>
      <c r="T251" s="18" t="s">
        <v>125</v>
      </c>
      <c r="U251" s="32"/>
      <c r="V251" s="19" t="str">
        <f aca="false">IF(E251="","",R251-E251)</f>
        <v/>
      </c>
      <c r="W251" s="18" t="s">
        <v>128</v>
      </c>
      <c r="X251" s="4" t="n">
        <f aca="false">IF(AND(D251="Available",R251&gt;=55),ROW(),9999)</f>
        <v>9999</v>
      </c>
      <c r="Y251" s="4" t="n">
        <f aca="false">IF(AND(D251="Available",R251&gt;=40,R251&lt;55),ROW(),9999)</f>
        <v>9999</v>
      </c>
      <c r="Z251" s="4" t="n">
        <f aca="false">IF(AND(D251="Available",R251&gt;=25,R251&lt;40),ROW(),9999)</f>
        <v>9999</v>
      </c>
      <c r="AA251" s="35" t="n">
        <f aca="false">IF(K251="","",IF(L251="",K251,ROUND(AVERAGE(K251,L251),0)))</f>
        <v>125</v>
      </c>
    </row>
    <row r="252" customFormat="false" ht="15" hidden="false" customHeight="false" outlineLevel="0" collapsed="false">
      <c r="A252" s="18" t="s">
        <v>405</v>
      </c>
      <c r="B252" s="19" t="n">
        <f aca="false">R252-N252</f>
        <v>1</v>
      </c>
      <c r="C252" s="18" t="str">
        <f aca="false">IF(B252&gt;=5,"SMASH BUY",IF(B252&gt;=2,"BUY",IF(B252&gt;=-1,"NEUTRAL",IF(B252&gt;=-4,"AVOID","DO NOT BID"))))</f>
        <v>NEUTRAL</v>
      </c>
      <c r="D252" s="18" t="str">
        <f aca="false">IF(COUNTIFS('Auction Log'!$B$5:$B$304,A252,'Auction Log'!$D$5:$D$304,"&lt;&gt;",'Auction Log'!$E$5:$E$304,"&gt;0")=0,"Available",IFERROR(INDEX('Auction Log'!$D$5:$D$304,MATCH(1,('Auction Log'!$B$5:$B$304=A252)*('Auction Log'!$D$5:$D$304&lt;&gt;"")*('Auction Log'!$E$5:$E$304&gt;0),0)),"SOLD"))</f>
        <v>Available</v>
      </c>
      <c r="E252" s="19" t="str">
        <f aca="false">IF(COUNTIFS('Auction Log'!$B$5:$B$304,A252,'Auction Log'!$D$5:$D$304,"&lt;&gt;",'Auction Log'!$E$5:$E$304,"&gt;0")=0,"",IFERROR(INDEX('Auction Log'!$E$5:$E$304,MATCH(1,('Auction Log'!$B$5:$B$304=A252)*('Auction Log'!$D$5:$D$304&lt;&gt;"")*('Auction Log'!$E$5:$E$304&gt;0),0)),""))</f>
        <v/>
      </c>
      <c r="F252" s="18" t="s">
        <v>173</v>
      </c>
      <c r="G252" s="18" t="s">
        <v>26</v>
      </c>
      <c r="H252" s="18" t="n">
        <v>10</v>
      </c>
      <c r="I252" s="18" t="n">
        <v>254</v>
      </c>
      <c r="J252" s="18" t="n">
        <v>12</v>
      </c>
      <c r="K252" s="36"/>
      <c r="L252" s="36" t="n">
        <v>65</v>
      </c>
      <c r="M252" s="19" t="n">
        <v>0</v>
      </c>
      <c r="N252" s="19" t="n">
        <v>0</v>
      </c>
      <c r="O252" s="19" t="n">
        <v>0</v>
      </c>
      <c r="P252" s="19" t="n">
        <v>0</v>
      </c>
      <c r="Q252" s="19" t="n">
        <v>0</v>
      </c>
      <c r="R252" s="19" t="n">
        <v>1</v>
      </c>
      <c r="S252" s="19" t="n">
        <v>1</v>
      </c>
      <c r="T252" s="18" t="s">
        <v>125</v>
      </c>
      <c r="U252" s="32"/>
      <c r="V252" s="19" t="str">
        <f aca="false">IF(E252="","",R252-E252)</f>
        <v/>
      </c>
      <c r="W252" s="18" t="s">
        <v>128</v>
      </c>
      <c r="X252" s="4" t="n">
        <f aca="false">IF(AND(D252="Available",R252&gt;=55),ROW(),9999)</f>
        <v>9999</v>
      </c>
      <c r="Y252" s="4" t="n">
        <f aca="false">IF(AND(D252="Available",R252&gt;=40,R252&lt;55),ROW(),9999)</f>
        <v>9999</v>
      </c>
      <c r="Z252" s="4" t="n">
        <f aca="false">IF(AND(D252="Available",R252&gt;=25,R252&lt;40),ROW(),9999)</f>
        <v>9999</v>
      </c>
      <c r="AA252" s="35" t="str">
        <f aca="false">IF(K252="","",IF(L252="",K252,ROUND(AVERAGE(K252,L252),0)))</f>
        <v/>
      </c>
    </row>
    <row r="253" customFormat="false" ht="15" hidden="false" customHeight="false" outlineLevel="0" collapsed="false">
      <c r="A253" s="18" t="s">
        <v>406</v>
      </c>
      <c r="B253" s="19" t="n">
        <f aca="false">R253-N253</f>
        <v>-1</v>
      </c>
      <c r="C253" s="18" t="str">
        <f aca="false">IF(B253&gt;=5,"SMASH BUY",IF(B253&gt;=2,"BUY",IF(B253&gt;=-1,"NEUTRAL",IF(B253&gt;=-4,"AVOID","DO NOT BID"))))</f>
        <v>NEUTRAL</v>
      </c>
      <c r="D253" s="18" t="str">
        <f aca="false">IF(COUNTIFS('Auction Log'!$B$5:$B$304,A253,'Auction Log'!$D$5:$D$304,"&lt;&gt;",'Auction Log'!$E$5:$E$304,"&gt;0")=0,"Available",IFERROR(INDEX('Auction Log'!$D$5:$D$304,MATCH(1,('Auction Log'!$B$5:$B$304=A253)*('Auction Log'!$D$5:$D$304&lt;&gt;"")*('Auction Log'!$E$5:$E$304&gt;0),0)),"SOLD"))</f>
        <v>Available</v>
      </c>
      <c r="E253" s="19" t="str">
        <f aca="false">IF(COUNTIFS('Auction Log'!$B$5:$B$304,A253,'Auction Log'!$D$5:$D$304,"&lt;&gt;",'Auction Log'!$E$5:$E$304,"&gt;0")=0,"",IFERROR(INDEX('Auction Log'!$E$5:$E$304,MATCH(1,('Auction Log'!$B$5:$B$304=A253)*('Auction Log'!$D$5:$D$304&lt;&gt;"")*('Auction Log'!$E$5:$E$304&gt;0),0)),""))</f>
        <v/>
      </c>
      <c r="F253" s="18" t="s">
        <v>111</v>
      </c>
      <c r="G253" s="18" t="s">
        <v>21</v>
      </c>
      <c r="H253" s="18" t="n">
        <v>8</v>
      </c>
      <c r="I253" s="18" t="n">
        <v>255</v>
      </c>
      <c r="J253" s="18" t="n">
        <v>12</v>
      </c>
      <c r="K253" s="36" t="n">
        <v>89</v>
      </c>
      <c r="L253" s="36" t="n">
        <v>61</v>
      </c>
      <c r="M253" s="19" t="n">
        <v>0</v>
      </c>
      <c r="N253" s="19" t="n">
        <v>2</v>
      </c>
      <c r="O253" s="19" t="n">
        <v>-3</v>
      </c>
      <c r="P253" s="19" t="n">
        <v>0</v>
      </c>
      <c r="Q253" s="19" t="n">
        <v>0</v>
      </c>
      <c r="R253" s="19" t="n">
        <v>1</v>
      </c>
      <c r="S253" s="19" t="n">
        <v>1</v>
      </c>
      <c r="T253" s="18" t="s">
        <v>125</v>
      </c>
      <c r="U253" s="32"/>
      <c r="V253" s="19" t="str">
        <f aca="false">IF(E253="","",R253-E253)</f>
        <v/>
      </c>
      <c r="W253" s="18" t="s">
        <v>128</v>
      </c>
      <c r="X253" s="4" t="n">
        <f aca="false">IF(AND(D253="Available",R253&gt;=55),ROW(),9999)</f>
        <v>9999</v>
      </c>
      <c r="Y253" s="4" t="n">
        <f aca="false">IF(AND(D253="Available",R253&gt;=40,R253&lt;55),ROW(),9999)</f>
        <v>9999</v>
      </c>
      <c r="Z253" s="4" t="n">
        <f aca="false">IF(AND(D253="Available",R253&gt;=25,R253&lt;40),ROW(),9999)</f>
        <v>9999</v>
      </c>
      <c r="AA253" s="35" t="n">
        <f aca="false">IF(K253="","",IF(L253="",K253,ROUND(AVERAGE(K253,L253),0)))</f>
        <v>75</v>
      </c>
    </row>
    <row r="254" customFormat="false" ht="15" hidden="false" customHeight="false" outlineLevel="0" collapsed="false">
      <c r="A254" s="18" t="s">
        <v>407</v>
      </c>
      <c r="B254" s="19" t="n">
        <f aca="false">R254-N254</f>
        <v>1</v>
      </c>
      <c r="C254" s="18" t="str">
        <f aca="false">IF(B254&gt;=5,"SMASH BUY",IF(B254&gt;=2,"BUY",IF(B254&gt;=-1,"NEUTRAL",IF(B254&gt;=-4,"AVOID","DO NOT BID"))))</f>
        <v>NEUTRAL</v>
      </c>
      <c r="D254" s="18" t="str">
        <f aca="false">IF(COUNTIFS('Auction Log'!$B$5:$B$304,A254,'Auction Log'!$D$5:$D$304,"&lt;&gt;",'Auction Log'!$E$5:$E$304,"&gt;0")=0,"Available",IFERROR(INDEX('Auction Log'!$D$5:$D$304,MATCH(1,('Auction Log'!$B$5:$B$304=A254)*('Auction Log'!$D$5:$D$304&lt;&gt;"")*('Auction Log'!$E$5:$E$304&gt;0),0)),"SOLD"))</f>
        <v>Available</v>
      </c>
      <c r="E254" s="19" t="str">
        <f aca="false">IF(COUNTIFS('Auction Log'!$B$5:$B$304,A254,'Auction Log'!$D$5:$D$304,"&lt;&gt;",'Auction Log'!$E$5:$E$304,"&gt;0")=0,"",IFERROR(INDEX('Auction Log'!$E$5:$E$304,MATCH(1,('Auction Log'!$B$5:$B$304=A254)*('Auction Log'!$D$5:$D$304&lt;&gt;"")*('Auction Log'!$E$5:$E$304&gt;0),0)),""))</f>
        <v/>
      </c>
      <c r="F254" s="18" t="s">
        <v>148</v>
      </c>
      <c r="G254" s="18" t="s">
        <v>21</v>
      </c>
      <c r="H254" s="18" t="n">
        <v>13</v>
      </c>
      <c r="I254" s="18" t="n">
        <v>256</v>
      </c>
      <c r="J254" s="18" t="n">
        <v>12</v>
      </c>
      <c r="K254" s="36"/>
      <c r="L254" s="36" t="n">
        <v>51</v>
      </c>
      <c r="M254" s="19" t="n">
        <v>0</v>
      </c>
      <c r="N254" s="19" t="n">
        <v>0</v>
      </c>
      <c r="O254" s="19" t="n">
        <v>0</v>
      </c>
      <c r="P254" s="19" t="n">
        <v>0</v>
      </c>
      <c r="Q254" s="19" t="n">
        <v>0</v>
      </c>
      <c r="R254" s="19" t="n">
        <v>1</v>
      </c>
      <c r="S254" s="19" t="n">
        <v>1</v>
      </c>
      <c r="T254" s="18" t="s">
        <v>125</v>
      </c>
      <c r="U254" s="32"/>
      <c r="V254" s="19" t="str">
        <f aca="false">IF(E254="","",R254-E254)</f>
        <v/>
      </c>
      <c r="W254" s="18" t="s">
        <v>128</v>
      </c>
      <c r="X254" s="4" t="n">
        <f aca="false">IF(AND(D254="Available",R254&gt;=55),ROW(),9999)</f>
        <v>9999</v>
      </c>
      <c r="Y254" s="4" t="n">
        <f aca="false">IF(AND(D254="Available",R254&gt;=40,R254&lt;55),ROW(),9999)</f>
        <v>9999</v>
      </c>
      <c r="Z254" s="4" t="n">
        <f aca="false">IF(AND(D254="Available",R254&gt;=25,R254&lt;40),ROW(),9999)</f>
        <v>9999</v>
      </c>
      <c r="AA254" s="35" t="str">
        <f aca="false">IF(K254="","",IF(L254="",K254,ROUND(AVERAGE(K254,L254),0)))</f>
        <v/>
      </c>
    </row>
    <row r="255" customFormat="false" ht="15" hidden="false" customHeight="false" outlineLevel="0" collapsed="false">
      <c r="A255" s="18" t="s">
        <v>408</v>
      </c>
      <c r="B255" s="19" t="n">
        <f aca="false">R255-N255</f>
        <v>1</v>
      </c>
      <c r="C255" s="18" t="str">
        <f aca="false">IF(B255&gt;=5,"SMASH BUY",IF(B255&gt;=2,"BUY",IF(B255&gt;=-1,"NEUTRAL",IF(B255&gt;=-4,"AVOID","DO NOT BID"))))</f>
        <v>NEUTRAL</v>
      </c>
      <c r="D255" s="18" t="str">
        <f aca="false">IF(COUNTIFS('Auction Log'!$B$5:$B$304,A255,'Auction Log'!$D$5:$D$304,"&lt;&gt;",'Auction Log'!$E$5:$E$304,"&gt;0")=0,"Available",IFERROR(INDEX('Auction Log'!$D$5:$D$304,MATCH(1,('Auction Log'!$B$5:$B$304=A255)*('Auction Log'!$D$5:$D$304&lt;&gt;"")*('Auction Log'!$E$5:$E$304&gt;0),0)),"SOLD"))</f>
        <v>Available</v>
      </c>
      <c r="E255" s="19" t="str">
        <f aca="false">IF(COUNTIFS('Auction Log'!$B$5:$B$304,A255,'Auction Log'!$D$5:$D$304,"&lt;&gt;",'Auction Log'!$E$5:$E$304,"&gt;0")=0,"",IFERROR(INDEX('Auction Log'!$E$5:$E$304,MATCH(1,('Auction Log'!$B$5:$B$304=A255)*('Auction Log'!$D$5:$D$304&lt;&gt;"")*('Auction Log'!$E$5:$E$304&gt;0),0)),""))</f>
        <v/>
      </c>
      <c r="F255" s="18" t="s">
        <v>202</v>
      </c>
      <c r="G255" s="18" t="s">
        <v>26</v>
      </c>
      <c r="H255" s="18" t="n">
        <v>9</v>
      </c>
      <c r="I255" s="18" t="n">
        <v>257</v>
      </c>
      <c r="J255" s="18" t="n">
        <v>12</v>
      </c>
      <c r="K255" s="36"/>
      <c r="L255" s="36" t="n">
        <v>24</v>
      </c>
      <c r="M255" s="19" t="n">
        <v>0</v>
      </c>
      <c r="N255" s="19" t="n">
        <v>0</v>
      </c>
      <c r="O255" s="19" t="n">
        <v>0</v>
      </c>
      <c r="P255" s="19" t="n">
        <v>0</v>
      </c>
      <c r="Q255" s="19" t="n">
        <v>0</v>
      </c>
      <c r="R255" s="19" t="n">
        <v>1</v>
      </c>
      <c r="S255" s="19" t="n">
        <v>1</v>
      </c>
      <c r="T255" s="18" t="s">
        <v>125</v>
      </c>
      <c r="U255" s="32"/>
      <c r="V255" s="19" t="str">
        <f aca="false">IF(E255="","",R255-E255)</f>
        <v/>
      </c>
      <c r="W255" s="18" t="s">
        <v>128</v>
      </c>
      <c r="X255" s="4" t="n">
        <f aca="false">IF(AND(D255="Available",R255&gt;=55),ROW(),9999)</f>
        <v>9999</v>
      </c>
      <c r="Y255" s="4" t="n">
        <f aca="false">IF(AND(D255="Available",R255&gt;=40,R255&lt;55),ROW(),9999)</f>
        <v>9999</v>
      </c>
      <c r="Z255" s="4" t="n">
        <f aca="false">IF(AND(D255="Available",R255&gt;=25,R255&lt;40),ROW(),9999)</f>
        <v>9999</v>
      </c>
      <c r="AA255" s="35" t="str">
        <f aca="false">IF(K255="","",IF(L255="",K255,ROUND(AVERAGE(K255,L255),0)))</f>
        <v/>
      </c>
    </row>
    <row r="256" customFormat="false" ht="15" hidden="false" customHeight="false" outlineLevel="0" collapsed="false">
      <c r="A256" s="18" t="s">
        <v>409</v>
      </c>
      <c r="B256" s="19" t="n">
        <f aca="false">R256-N256</f>
        <v>1</v>
      </c>
      <c r="C256" s="18" t="str">
        <f aca="false">IF(B256&gt;=5,"SMASH BUY",IF(B256&gt;=2,"BUY",IF(B256&gt;=-1,"NEUTRAL",IF(B256&gt;=-4,"AVOID","DO NOT BID"))))</f>
        <v>NEUTRAL</v>
      </c>
      <c r="D256" s="18" t="str">
        <f aca="false">IF(COUNTIFS('Auction Log'!$B$5:$B$304,A256,'Auction Log'!$D$5:$D$304,"&lt;&gt;",'Auction Log'!$E$5:$E$304,"&gt;0")=0,"Available",IFERROR(INDEX('Auction Log'!$D$5:$D$304,MATCH(1,('Auction Log'!$B$5:$B$304=A256)*('Auction Log'!$D$5:$D$304&lt;&gt;"")*('Auction Log'!$E$5:$E$304&gt;0),0)),"SOLD"))</f>
        <v>Available</v>
      </c>
      <c r="E256" s="19" t="str">
        <f aca="false">IF(COUNTIFS('Auction Log'!$B$5:$B$304,A256,'Auction Log'!$D$5:$D$304,"&lt;&gt;",'Auction Log'!$E$5:$E$304,"&gt;0")=0,"",IFERROR(INDEX('Auction Log'!$E$5:$E$304,MATCH(1,('Auction Log'!$B$5:$B$304=A256)*('Auction Log'!$D$5:$D$304&lt;&gt;"")*('Auction Log'!$E$5:$E$304&gt;0),0)),""))</f>
        <v/>
      </c>
      <c r="F256" s="18" t="s">
        <v>102</v>
      </c>
      <c r="G256" s="18" t="s">
        <v>16</v>
      </c>
      <c r="H256" s="18" t="n">
        <v>11</v>
      </c>
      <c r="I256" s="18" t="n">
        <v>258</v>
      </c>
      <c r="J256" s="18" t="n">
        <v>12</v>
      </c>
      <c r="K256" s="36"/>
      <c r="L256" s="36" t="n">
        <v>115</v>
      </c>
      <c r="M256" s="19" t="n">
        <v>0</v>
      </c>
      <c r="N256" s="19" t="n">
        <v>0</v>
      </c>
      <c r="O256" s="19" t="n">
        <v>0</v>
      </c>
      <c r="P256" s="19" t="n">
        <v>0</v>
      </c>
      <c r="Q256" s="19" t="n">
        <v>0</v>
      </c>
      <c r="R256" s="19" t="n">
        <v>1</v>
      </c>
      <c r="S256" s="19" t="n">
        <v>1</v>
      </c>
      <c r="T256" s="18" t="s">
        <v>125</v>
      </c>
      <c r="U256" s="32"/>
      <c r="V256" s="19" t="str">
        <f aca="false">IF(E256="","",R256-E256)</f>
        <v/>
      </c>
      <c r="W256" s="18" t="s">
        <v>128</v>
      </c>
      <c r="X256" s="4" t="n">
        <f aca="false">IF(AND(D256="Available",R256&gt;=55),ROW(),9999)</f>
        <v>9999</v>
      </c>
      <c r="Y256" s="4" t="n">
        <f aca="false">IF(AND(D256="Available",R256&gt;=40,R256&lt;55),ROW(),9999)</f>
        <v>9999</v>
      </c>
      <c r="Z256" s="4" t="n">
        <f aca="false">IF(AND(D256="Available",R256&gt;=25,R256&lt;40),ROW(),9999)</f>
        <v>9999</v>
      </c>
      <c r="AA256" s="35" t="str">
        <f aca="false">IF(K256="","",IF(L256="",K256,ROUND(AVERAGE(K256,L256),0)))</f>
        <v/>
      </c>
    </row>
    <row r="257" customFormat="false" ht="15" hidden="false" customHeight="false" outlineLevel="0" collapsed="false">
      <c r="A257" s="18" t="s">
        <v>410</v>
      </c>
      <c r="B257" s="19" t="n">
        <f aca="false">R257-N257</f>
        <v>1</v>
      </c>
      <c r="C257" s="18" t="str">
        <f aca="false">IF(B257&gt;=5,"SMASH BUY",IF(B257&gt;=2,"BUY",IF(B257&gt;=-1,"NEUTRAL",IF(B257&gt;=-4,"AVOID","DO NOT BID"))))</f>
        <v>NEUTRAL</v>
      </c>
      <c r="D257" s="18" t="str">
        <f aca="false">IF(COUNTIFS('Auction Log'!$B$5:$B$304,A257,'Auction Log'!$D$5:$D$304,"&lt;&gt;",'Auction Log'!$E$5:$E$304,"&gt;0")=0,"Available",IFERROR(INDEX('Auction Log'!$D$5:$D$304,MATCH(1,('Auction Log'!$B$5:$B$304=A257)*('Auction Log'!$D$5:$D$304&lt;&gt;"")*('Auction Log'!$E$5:$E$304&gt;0),0)),"SOLD"))</f>
        <v>Available</v>
      </c>
      <c r="E257" s="19" t="str">
        <f aca="false">IF(COUNTIFS('Auction Log'!$B$5:$B$304,A257,'Auction Log'!$D$5:$D$304,"&lt;&gt;",'Auction Log'!$E$5:$E$304,"&gt;0")=0,"",IFERROR(INDEX('Auction Log'!$E$5:$E$304,MATCH(1,('Auction Log'!$B$5:$B$304=A257)*('Auction Log'!$D$5:$D$304&lt;&gt;"")*('Auction Log'!$E$5:$E$304&gt;0),0)),""))</f>
        <v/>
      </c>
      <c r="F257" s="18" t="s">
        <v>106</v>
      </c>
      <c r="G257" s="18" t="s">
        <v>30</v>
      </c>
      <c r="H257" s="18" t="n">
        <v>11</v>
      </c>
      <c r="I257" s="18" t="n">
        <v>259</v>
      </c>
      <c r="J257" s="18" t="n">
        <v>12</v>
      </c>
      <c r="K257" s="36"/>
      <c r="L257" s="36" t="n">
        <v>75</v>
      </c>
      <c r="M257" s="19" t="n">
        <v>0</v>
      </c>
      <c r="N257" s="19" t="n">
        <v>0</v>
      </c>
      <c r="O257" s="19" t="n">
        <v>0</v>
      </c>
      <c r="P257" s="19" t="n">
        <v>0</v>
      </c>
      <c r="Q257" s="19" t="n">
        <v>0</v>
      </c>
      <c r="R257" s="19" t="n">
        <v>1</v>
      </c>
      <c r="S257" s="19" t="n">
        <v>1</v>
      </c>
      <c r="T257" s="18" t="s">
        <v>125</v>
      </c>
      <c r="U257" s="32"/>
      <c r="V257" s="19" t="str">
        <f aca="false">IF(E257="","",R257-E257)</f>
        <v/>
      </c>
      <c r="W257" s="18" t="s">
        <v>128</v>
      </c>
      <c r="X257" s="4" t="n">
        <f aca="false">IF(AND(D257="Available",R257&gt;=55),ROW(),9999)</f>
        <v>9999</v>
      </c>
      <c r="Y257" s="4" t="n">
        <f aca="false">IF(AND(D257="Available",R257&gt;=40,R257&lt;55),ROW(),9999)</f>
        <v>9999</v>
      </c>
      <c r="Z257" s="4" t="n">
        <f aca="false">IF(AND(D257="Available",R257&gt;=25,R257&lt;40),ROW(),9999)</f>
        <v>9999</v>
      </c>
      <c r="AA257" s="35" t="str">
        <f aca="false">IF(K257="","",IF(L257="",K257,ROUND(AVERAGE(K257,L257),0)))</f>
        <v/>
      </c>
    </row>
    <row r="258" customFormat="false" ht="15" hidden="false" customHeight="false" outlineLevel="0" collapsed="false">
      <c r="A258" s="18" t="s">
        <v>411</v>
      </c>
      <c r="B258" s="19" t="n">
        <f aca="false">R258-N258</f>
        <v>1</v>
      </c>
      <c r="C258" s="18" t="str">
        <f aca="false">IF(B258&gt;=5,"SMASH BUY",IF(B258&gt;=2,"BUY",IF(B258&gt;=-1,"NEUTRAL",IF(B258&gt;=-4,"AVOID","DO NOT BID"))))</f>
        <v>NEUTRAL</v>
      </c>
      <c r="D258" s="18" t="str">
        <f aca="false">IF(COUNTIFS('Auction Log'!$B$5:$B$304,A258,'Auction Log'!$D$5:$D$304,"&lt;&gt;",'Auction Log'!$E$5:$E$304,"&gt;0")=0,"Available",IFERROR(INDEX('Auction Log'!$D$5:$D$304,MATCH(1,('Auction Log'!$B$5:$B$304=A258)*('Auction Log'!$D$5:$D$304&lt;&gt;"")*('Auction Log'!$E$5:$E$304&gt;0),0)),"SOLD"))</f>
        <v>Available</v>
      </c>
      <c r="E258" s="19" t="str">
        <f aca="false">IF(COUNTIFS('Auction Log'!$B$5:$B$304,A258,'Auction Log'!$D$5:$D$304,"&lt;&gt;",'Auction Log'!$E$5:$E$304,"&gt;0")=0,"",IFERROR(INDEX('Auction Log'!$E$5:$E$304,MATCH(1,('Auction Log'!$B$5:$B$304=A258)*('Auction Log'!$D$5:$D$304&lt;&gt;"")*('Auction Log'!$E$5:$E$304&gt;0),0)),""))</f>
        <v/>
      </c>
      <c r="F258" s="18" t="s">
        <v>118</v>
      </c>
      <c r="G258" s="18" t="s">
        <v>21</v>
      </c>
      <c r="H258" s="18" t="n">
        <v>6</v>
      </c>
      <c r="I258" s="18" t="n">
        <v>260</v>
      </c>
      <c r="J258" s="18" t="n">
        <v>12</v>
      </c>
      <c r="K258" s="36"/>
      <c r="L258" s="36" t="n">
        <v>17</v>
      </c>
      <c r="M258" s="19" t="n">
        <v>0</v>
      </c>
      <c r="N258" s="19" t="n">
        <v>0</v>
      </c>
      <c r="O258" s="19" t="n">
        <v>0</v>
      </c>
      <c r="P258" s="19" t="n">
        <v>0</v>
      </c>
      <c r="Q258" s="19" t="n">
        <v>0</v>
      </c>
      <c r="R258" s="19" t="n">
        <v>1</v>
      </c>
      <c r="S258" s="19" t="n">
        <v>1</v>
      </c>
      <c r="T258" s="18" t="s">
        <v>125</v>
      </c>
      <c r="U258" s="32"/>
      <c r="V258" s="19" t="str">
        <f aca="false">IF(E258="","",R258-E258)</f>
        <v/>
      </c>
      <c r="W258" s="18" t="s">
        <v>128</v>
      </c>
      <c r="X258" s="4" t="n">
        <f aca="false">IF(AND(D258="Available",R258&gt;=55),ROW(),9999)</f>
        <v>9999</v>
      </c>
      <c r="Y258" s="4" t="n">
        <f aca="false">IF(AND(D258="Available",R258&gt;=40,R258&lt;55),ROW(),9999)</f>
        <v>9999</v>
      </c>
      <c r="Z258" s="4" t="n">
        <f aca="false">IF(AND(D258="Available",R258&gt;=25,R258&lt;40),ROW(),9999)</f>
        <v>9999</v>
      </c>
      <c r="AA258" s="35" t="str">
        <f aca="false">IF(K258="","",IF(L258="",K258,ROUND(AVERAGE(K258,L258),0)))</f>
        <v/>
      </c>
    </row>
    <row r="259" customFormat="false" ht="15" hidden="false" customHeight="false" outlineLevel="0" collapsed="false">
      <c r="A259" s="18" t="s">
        <v>412</v>
      </c>
      <c r="B259" s="19" t="n">
        <f aca="false">R259-N259</f>
        <v>1</v>
      </c>
      <c r="C259" s="18" t="str">
        <f aca="false">IF(B259&gt;=5,"SMASH BUY",IF(B259&gt;=2,"BUY",IF(B259&gt;=-1,"NEUTRAL",IF(B259&gt;=-4,"AVOID","DO NOT BID"))))</f>
        <v>NEUTRAL</v>
      </c>
      <c r="D259" s="18" t="str">
        <f aca="false">IF(COUNTIFS('Auction Log'!$B$5:$B$304,A259,'Auction Log'!$D$5:$D$304,"&lt;&gt;",'Auction Log'!$E$5:$E$304,"&gt;0")=0,"Available",IFERROR(INDEX('Auction Log'!$D$5:$D$304,MATCH(1,('Auction Log'!$B$5:$B$304=A259)*('Auction Log'!$D$5:$D$304&lt;&gt;"")*('Auction Log'!$E$5:$E$304&gt;0),0)),"SOLD"))</f>
        <v>Available</v>
      </c>
      <c r="E259" s="19" t="str">
        <f aca="false">IF(COUNTIFS('Auction Log'!$B$5:$B$304,A259,'Auction Log'!$D$5:$D$304,"&lt;&gt;",'Auction Log'!$E$5:$E$304,"&gt;0")=0,"",IFERROR(INDEX('Auction Log'!$E$5:$E$304,MATCH(1,('Auction Log'!$B$5:$B$304=A259)*('Auction Log'!$D$5:$D$304&lt;&gt;"")*('Auction Log'!$E$5:$E$304&gt;0),0)),""))</f>
        <v/>
      </c>
      <c r="F259" s="18" t="s">
        <v>150</v>
      </c>
      <c r="G259" s="18" t="s">
        <v>21</v>
      </c>
      <c r="H259" s="18" t="n">
        <v>8</v>
      </c>
      <c r="I259" s="18" t="n">
        <v>261</v>
      </c>
      <c r="J259" s="18" t="n">
        <v>12</v>
      </c>
      <c r="K259" s="36"/>
      <c r="L259" s="36" t="n">
        <v>50</v>
      </c>
      <c r="M259" s="19" t="n">
        <v>0</v>
      </c>
      <c r="N259" s="19" t="n">
        <v>0</v>
      </c>
      <c r="O259" s="19" t="n">
        <v>0</v>
      </c>
      <c r="P259" s="19" t="n">
        <v>0</v>
      </c>
      <c r="Q259" s="19" t="n">
        <v>0</v>
      </c>
      <c r="R259" s="19" t="n">
        <v>1</v>
      </c>
      <c r="S259" s="19" t="n">
        <v>1</v>
      </c>
      <c r="T259" s="18" t="s">
        <v>125</v>
      </c>
      <c r="U259" s="32"/>
      <c r="V259" s="19" t="str">
        <f aca="false">IF(E259="","",R259-E259)</f>
        <v/>
      </c>
      <c r="W259" s="18" t="s">
        <v>128</v>
      </c>
      <c r="X259" s="4" t="n">
        <f aca="false">IF(AND(D259="Available",R259&gt;=55),ROW(),9999)</f>
        <v>9999</v>
      </c>
      <c r="Y259" s="4" t="n">
        <f aca="false">IF(AND(D259="Available",R259&gt;=40,R259&lt;55),ROW(),9999)</f>
        <v>9999</v>
      </c>
      <c r="Z259" s="4" t="n">
        <f aca="false">IF(AND(D259="Available",R259&gt;=25,R259&lt;40),ROW(),9999)</f>
        <v>9999</v>
      </c>
      <c r="AA259" s="35" t="str">
        <f aca="false">IF(K259="","",IF(L259="",K259,ROUND(AVERAGE(K259,L259),0)))</f>
        <v/>
      </c>
    </row>
    <row r="260" customFormat="false" ht="15" hidden="false" customHeight="false" outlineLevel="0" collapsed="false">
      <c r="A260" s="18" t="s">
        <v>413</v>
      </c>
      <c r="B260" s="19" t="n">
        <f aca="false">R260-N260</f>
        <v>1</v>
      </c>
      <c r="C260" s="18" t="str">
        <f aca="false">IF(B260&gt;=5,"SMASH BUY",IF(B260&gt;=2,"BUY",IF(B260&gt;=-1,"NEUTRAL",IF(B260&gt;=-4,"AVOID","DO NOT BID"))))</f>
        <v>NEUTRAL</v>
      </c>
      <c r="D260" s="18" t="str">
        <f aca="false">IF(COUNTIFS('Auction Log'!$B$5:$B$304,A260,'Auction Log'!$D$5:$D$304,"&lt;&gt;",'Auction Log'!$E$5:$E$304,"&gt;0")=0,"Available",IFERROR(INDEX('Auction Log'!$D$5:$D$304,MATCH(1,('Auction Log'!$B$5:$B$304=A260)*('Auction Log'!$D$5:$D$304&lt;&gt;"")*('Auction Log'!$E$5:$E$304&gt;0),0)),"SOLD"))</f>
        <v>Available</v>
      </c>
      <c r="E260" s="19" t="str">
        <f aca="false">IF(COUNTIFS('Auction Log'!$B$5:$B$304,A260,'Auction Log'!$D$5:$D$304,"&lt;&gt;",'Auction Log'!$E$5:$E$304,"&gt;0")=0,"",IFERROR(INDEX('Auction Log'!$E$5:$E$304,MATCH(1,('Auction Log'!$B$5:$B$304=A260)*('Auction Log'!$D$5:$D$304&lt;&gt;"")*('Auction Log'!$E$5:$E$304&gt;0),0)),""))</f>
        <v/>
      </c>
      <c r="F260" s="18" t="s">
        <v>120</v>
      </c>
      <c r="G260" s="18" t="s">
        <v>26</v>
      </c>
      <c r="H260" s="18" t="n">
        <v>6</v>
      </c>
      <c r="I260" s="18" t="n">
        <v>262</v>
      </c>
      <c r="J260" s="18" t="n">
        <v>12</v>
      </c>
      <c r="K260" s="36"/>
      <c r="L260" s="36" t="n">
        <v>116</v>
      </c>
      <c r="M260" s="19" t="n">
        <v>1</v>
      </c>
      <c r="N260" s="19" t="n">
        <v>0</v>
      </c>
      <c r="O260" s="19" t="n">
        <v>0</v>
      </c>
      <c r="P260" s="19" t="n">
        <v>0</v>
      </c>
      <c r="Q260" s="19" t="n">
        <v>0</v>
      </c>
      <c r="R260" s="19" t="n">
        <v>1</v>
      </c>
      <c r="S260" s="19" t="n">
        <v>1</v>
      </c>
      <c r="T260" s="18" t="s">
        <v>125</v>
      </c>
      <c r="U260" s="32"/>
      <c r="V260" s="19" t="str">
        <f aca="false">IF(E260="","",R260-E260)</f>
        <v/>
      </c>
      <c r="W260" s="18" t="s">
        <v>128</v>
      </c>
      <c r="X260" s="4" t="n">
        <f aca="false">IF(AND(D260="Available",R260&gt;=55),ROW(),9999)</f>
        <v>9999</v>
      </c>
      <c r="Y260" s="4" t="n">
        <f aca="false">IF(AND(D260="Available",R260&gt;=40,R260&lt;55),ROW(),9999)</f>
        <v>9999</v>
      </c>
      <c r="Z260" s="4" t="n">
        <f aca="false">IF(AND(D260="Available",R260&gt;=25,R260&lt;40),ROW(),9999)</f>
        <v>9999</v>
      </c>
      <c r="AA260" s="35" t="str">
        <f aca="false">IF(K260="","",IF(L260="",K260,ROUND(AVERAGE(K260,L260),0)))</f>
        <v/>
      </c>
    </row>
    <row r="261" customFormat="false" ht="15" hidden="false" customHeight="false" outlineLevel="0" collapsed="false">
      <c r="A261" s="18" t="s">
        <v>414</v>
      </c>
      <c r="B261" s="19" t="n">
        <f aca="false">R261-N261</f>
        <v>1</v>
      </c>
      <c r="C261" s="18" t="str">
        <f aca="false">IF(B261&gt;=5,"SMASH BUY",IF(B261&gt;=2,"BUY",IF(B261&gt;=-1,"NEUTRAL",IF(B261&gt;=-4,"AVOID","DO NOT BID"))))</f>
        <v>NEUTRAL</v>
      </c>
      <c r="D261" s="18" t="str">
        <f aca="false">IF(COUNTIFS('Auction Log'!$B$5:$B$304,A261,'Auction Log'!$D$5:$D$304,"&lt;&gt;",'Auction Log'!$E$5:$E$304,"&gt;0")=0,"Available",IFERROR(INDEX('Auction Log'!$D$5:$D$304,MATCH(1,('Auction Log'!$B$5:$B$304=A261)*('Auction Log'!$D$5:$D$304&lt;&gt;"")*('Auction Log'!$E$5:$E$304&gt;0),0)),"SOLD"))</f>
        <v>Available</v>
      </c>
      <c r="E261" s="19" t="str">
        <f aca="false">IF(COUNTIFS('Auction Log'!$B$5:$B$304,A261,'Auction Log'!$D$5:$D$304,"&lt;&gt;",'Auction Log'!$E$5:$E$304,"&gt;0")=0,"",IFERROR(INDEX('Auction Log'!$E$5:$E$304,MATCH(1,('Auction Log'!$B$5:$B$304=A261)*('Auction Log'!$D$5:$D$304&lt;&gt;"")*('Auction Log'!$E$5:$E$304&gt;0),0)),""))</f>
        <v/>
      </c>
      <c r="F261" s="18" t="s">
        <v>104</v>
      </c>
      <c r="G261" s="18" t="s">
        <v>26</v>
      </c>
      <c r="H261" s="18" t="n">
        <v>11</v>
      </c>
      <c r="I261" s="18" t="n">
        <v>263</v>
      </c>
      <c r="J261" s="18" t="n">
        <v>12</v>
      </c>
      <c r="K261" s="36"/>
      <c r="L261" s="36" t="n">
        <v>65</v>
      </c>
      <c r="M261" s="19" t="n">
        <v>0</v>
      </c>
      <c r="N261" s="19" t="n">
        <v>0</v>
      </c>
      <c r="O261" s="19" t="n">
        <v>0</v>
      </c>
      <c r="P261" s="19" t="n">
        <v>0</v>
      </c>
      <c r="Q261" s="19" t="n">
        <v>0</v>
      </c>
      <c r="R261" s="19" t="n">
        <v>1</v>
      </c>
      <c r="S261" s="19" t="n">
        <v>1</v>
      </c>
      <c r="T261" s="18" t="s">
        <v>125</v>
      </c>
      <c r="U261" s="32"/>
      <c r="V261" s="19" t="str">
        <f aca="false">IF(E261="","",R261-E261)</f>
        <v/>
      </c>
      <c r="W261" s="18" t="s">
        <v>128</v>
      </c>
      <c r="X261" s="4" t="n">
        <f aca="false">IF(AND(D261="Available",R261&gt;=55),ROW(),9999)</f>
        <v>9999</v>
      </c>
      <c r="Y261" s="4" t="n">
        <f aca="false">IF(AND(D261="Available",R261&gt;=40,R261&lt;55),ROW(),9999)</f>
        <v>9999</v>
      </c>
      <c r="Z261" s="4" t="n">
        <f aca="false">IF(AND(D261="Available",R261&gt;=25,R261&lt;40),ROW(),9999)</f>
        <v>9999</v>
      </c>
      <c r="AA261" s="35" t="str">
        <f aca="false">IF(K261="","",IF(L261="",K261,ROUND(AVERAGE(K261,L261),0)))</f>
        <v/>
      </c>
    </row>
    <row r="262" customFormat="false" ht="15" hidden="false" customHeight="false" outlineLevel="0" collapsed="false">
      <c r="A262" s="18" t="s">
        <v>415</v>
      </c>
      <c r="B262" s="19" t="n">
        <f aca="false">R262-N262</f>
        <v>1</v>
      </c>
      <c r="C262" s="18" t="str">
        <f aca="false">IF(B262&gt;=5,"SMASH BUY",IF(B262&gt;=2,"BUY",IF(B262&gt;=-1,"NEUTRAL",IF(B262&gt;=-4,"AVOID","DO NOT BID"))))</f>
        <v>NEUTRAL</v>
      </c>
      <c r="D262" s="18" t="str">
        <f aca="false">IF(COUNTIFS('Auction Log'!$B$5:$B$304,A262,'Auction Log'!$D$5:$D$304,"&lt;&gt;",'Auction Log'!$E$5:$E$304,"&gt;0")=0,"Available",IFERROR(INDEX('Auction Log'!$D$5:$D$304,MATCH(1,('Auction Log'!$B$5:$B$304=A262)*('Auction Log'!$D$5:$D$304&lt;&gt;"")*('Auction Log'!$E$5:$E$304&gt;0),0)),"SOLD"))</f>
        <v>Available</v>
      </c>
      <c r="E262" s="19" t="str">
        <f aca="false">IF(COUNTIFS('Auction Log'!$B$5:$B$304,A262,'Auction Log'!$D$5:$D$304,"&lt;&gt;",'Auction Log'!$E$5:$E$304,"&gt;0")=0,"",IFERROR(INDEX('Auction Log'!$E$5:$E$304,MATCH(1,('Auction Log'!$B$5:$B$304=A262)*('Auction Log'!$D$5:$D$304&lt;&gt;"")*('Auction Log'!$E$5:$E$304&gt;0),0)),""))</f>
        <v/>
      </c>
      <c r="F262" s="18" t="s">
        <v>196</v>
      </c>
      <c r="G262" s="18" t="s">
        <v>21</v>
      </c>
      <c r="H262" s="18" t="n">
        <v>7</v>
      </c>
      <c r="I262" s="18" t="n">
        <v>264</v>
      </c>
      <c r="J262" s="18" t="n">
        <v>12</v>
      </c>
      <c r="K262" s="36"/>
      <c r="L262" s="36" t="n">
        <v>46</v>
      </c>
      <c r="M262" s="19" t="n">
        <v>0</v>
      </c>
      <c r="N262" s="19" t="n">
        <v>0</v>
      </c>
      <c r="O262" s="19" t="n">
        <v>0</v>
      </c>
      <c r="P262" s="19" t="n">
        <v>0</v>
      </c>
      <c r="Q262" s="19" t="n">
        <v>0</v>
      </c>
      <c r="R262" s="19" t="n">
        <v>1</v>
      </c>
      <c r="S262" s="19" t="n">
        <v>1</v>
      </c>
      <c r="T262" s="18" t="s">
        <v>125</v>
      </c>
      <c r="U262" s="32"/>
      <c r="V262" s="19" t="str">
        <f aca="false">IF(E262="","",R262-E262)</f>
        <v/>
      </c>
      <c r="W262" s="18" t="s">
        <v>128</v>
      </c>
      <c r="X262" s="4" t="n">
        <f aca="false">IF(AND(D262="Available",R262&gt;=55),ROW(),9999)</f>
        <v>9999</v>
      </c>
      <c r="Y262" s="4" t="n">
        <f aca="false">IF(AND(D262="Available",R262&gt;=40,R262&lt;55),ROW(),9999)</f>
        <v>9999</v>
      </c>
      <c r="Z262" s="4" t="n">
        <f aca="false">IF(AND(D262="Available",R262&gt;=25,R262&lt;40),ROW(),9999)</f>
        <v>9999</v>
      </c>
      <c r="AA262" s="35" t="str">
        <f aca="false">IF(K262="","",IF(L262="",K262,ROUND(AVERAGE(K262,L262),0)))</f>
        <v/>
      </c>
    </row>
    <row r="263" customFormat="false" ht="15" hidden="false" customHeight="false" outlineLevel="0" collapsed="false">
      <c r="A263" s="18" t="s">
        <v>416</v>
      </c>
      <c r="B263" s="19" t="n">
        <f aca="false">R263-N263</f>
        <v>0</v>
      </c>
      <c r="C263" s="18" t="str">
        <f aca="false">IF(B263&gt;=5,"SMASH BUY",IF(B263&gt;=2,"BUY",IF(B263&gt;=-1,"NEUTRAL",IF(B263&gt;=-4,"AVOID","DO NOT BID"))))</f>
        <v>NEUTRAL</v>
      </c>
      <c r="D263" s="18" t="str">
        <f aca="false">IF(COUNTIFS('Auction Log'!$B$5:$B$304,A263,'Auction Log'!$D$5:$D$304,"&lt;&gt;",'Auction Log'!$E$5:$E$304,"&gt;0")=0,"Available",IFERROR(INDEX('Auction Log'!$D$5:$D$304,MATCH(1,('Auction Log'!$B$5:$B$304=A263)*('Auction Log'!$D$5:$D$304&lt;&gt;"")*('Auction Log'!$E$5:$E$304&gt;0),0)),"SOLD"))</f>
        <v>Available</v>
      </c>
      <c r="E263" s="19" t="str">
        <f aca="false">IF(COUNTIFS('Auction Log'!$B$5:$B$304,A263,'Auction Log'!$D$5:$D$304,"&lt;&gt;",'Auction Log'!$E$5:$E$304,"&gt;0")=0,"",IFERROR(INDEX('Auction Log'!$E$5:$E$304,MATCH(1,('Auction Log'!$B$5:$B$304=A263)*('Auction Log'!$D$5:$D$304&lt;&gt;"")*('Auction Log'!$E$5:$E$304&gt;0),0)),""))</f>
        <v/>
      </c>
      <c r="F263" s="18" t="s">
        <v>118</v>
      </c>
      <c r="G263" s="18" t="s">
        <v>37</v>
      </c>
      <c r="H263" s="18" t="n">
        <v>6</v>
      </c>
      <c r="I263" s="18" t="n">
        <v>265</v>
      </c>
      <c r="J263" s="18" t="n">
        <v>12</v>
      </c>
      <c r="K263" s="36" t="n">
        <v>131</v>
      </c>
      <c r="L263" s="36"/>
      <c r="M263" s="19" t="n">
        <v>0</v>
      </c>
      <c r="N263" s="19" t="n">
        <v>1</v>
      </c>
      <c r="O263" s="19" t="n">
        <v>-3</v>
      </c>
      <c r="P263" s="19" t="n">
        <v>0</v>
      </c>
      <c r="Q263" s="19" t="n">
        <v>0</v>
      </c>
      <c r="R263" s="19" t="n">
        <v>1</v>
      </c>
      <c r="S263" s="19" t="n">
        <v>1</v>
      </c>
      <c r="T263" s="18" t="s">
        <v>125</v>
      </c>
      <c r="U263" s="32"/>
      <c r="V263" s="19" t="str">
        <f aca="false">IF(E263="","",R263-E263)</f>
        <v/>
      </c>
      <c r="W263" s="18" t="s">
        <v>128</v>
      </c>
      <c r="X263" s="4" t="n">
        <f aca="false">IF(AND(D263="Available",R263&gt;=55),ROW(),9999)</f>
        <v>9999</v>
      </c>
      <c r="Y263" s="4" t="n">
        <f aca="false">IF(AND(D263="Available",R263&gt;=40,R263&lt;55),ROW(),9999)</f>
        <v>9999</v>
      </c>
      <c r="Z263" s="4" t="n">
        <f aca="false">IF(AND(D263="Available",R263&gt;=25,R263&lt;40),ROW(),9999)</f>
        <v>9999</v>
      </c>
      <c r="AA263" s="35" t="n">
        <f aca="false">IF(K263="","",IF(L263="",K263,ROUND(AVERAGE(K263,L263),0)))</f>
        <v>131</v>
      </c>
    </row>
    <row r="264" customFormat="false" ht="15" hidden="false" customHeight="false" outlineLevel="0" collapsed="false">
      <c r="A264" s="18" t="s">
        <v>417</v>
      </c>
      <c r="B264" s="19" t="n">
        <f aca="false">R264-N264</f>
        <v>-1</v>
      </c>
      <c r="C264" s="18" t="str">
        <f aca="false">IF(B264&gt;=5,"SMASH BUY",IF(B264&gt;=2,"BUY",IF(B264&gt;=-1,"NEUTRAL",IF(B264&gt;=-4,"AVOID","DO NOT BID"))))</f>
        <v>NEUTRAL</v>
      </c>
      <c r="D264" s="18" t="str">
        <f aca="false">IF(COUNTIFS('Auction Log'!$B$5:$B$304,A264,'Auction Log'!$D$5:$D$304,"&lt;&gt;",'Auction Log'!$E$5:$E$304,"&gt;0")=0,"Available",IFERROR(INDEX('Auction Log'!$D$5:$D$304,MATCH(1,('Auction Log'!$B$5:$B$304=A264)*('Auction Log'!$D$5:$D$304&lt;&gt;"")*('Auction Log'!$E$5:$E$304&gt;0),0)),"SOLD"))</f>
        <v>Available</v>
      </c>
      <c r="E264" s="19" t="str">
        <f aca="false">IF(COUNTIFS('Auction Log'!$B$5:$B$304,A264,'Auction Log'!$D$5:$D$304,"&lt;&gt;",'Auction Log'!$E$5:$E$304,"&gt;0")=0,"",IFERROR(INDEX('Auction Log'!$E$5:$E$304,MATCH(1,('Auction Log'!$B$5:$B$304=A264)*('Auction Log'!$D$5:$D$304&lt;&gt;"")*('Auction Log'!$E$5:$E$304&gt;0),0)),""))</f>
        <v/>
      </c>
      <c r="F264" s="18" t="s">
        <v>122</v>
      </c>
      <c r="G264" s="18" t="s">
        <v>21</v>
      </c>
      <c r="H264" s="18" t="n">
        <v>7</v>
      </c>
      <c r="I264" s="18" t="n">
        <v>266</v>
      </c>
      <c r="J264" s="18" t="n">
        <v>12</v>
      </c>
      <c r="K264" s="36" t="n">
        <v>95</v>
      </c>
      <c r="L264" s="36" t="n">
        <v>85</v>
      </c>
      <c r="M264" s="19" t="n">
        <v>0</v>
      </c>
      <c r="N264" s="19" t="n">
        <v>2</v>
      </c>
      <c r="O264" s="19" t="n">
        <v>-3</v>
      </c>
      <c r="P264" s="19" t="n">
        <v>0</v>
      </c>
      <c r="Q264" s="19" t="n">
        <v>0</v>
      </c>
      <c r="R264" s="19" t="n">
        <v>1</v>
      </c>
      <c r="S264" s="19" t="n">
        <v>1</v>
      </c>
      <c r="T264" s="18" t="s">
        <v>125</v>
      </c>
      <c r="U264" s="32" t="s">
        <v>418</v>
      </c>
      <c r="V264" s="19" t="str">
        <f aca="false">IF(E264="","",R264-E264)</f>
        <v/>
      </c>
      <c r="W264" s="18" t="s">
        <v>128</v>
      </c>
      <c r="X264" s="4" t="n">
        <f aca="false">IF(AND(D264="Available",R264&gt;=55),ROW(),9999)</f>
        <v>9999</v>
      </c>
      <c r="Y264" s="4" t="n">
        <f aca="false">IF(AND(D264="Available",R264&gt;=40,R264&lt;55),ROW(),9999)</f>
        <v>9999</v>
      </c>
      <c r="Z264" s="4" t="n">
        <f aca="false">IF(AND(D264="Available",R264&gt;=25,R264&lt;40),ROW(),9999)</f>
        <v>9999</v>
      </c>
      <c r="AA264" s="35" t="n">
        <f aca="false">IF(K264="","",IF(L264="",K264,ROUND(AVERAGE(K264,L264),0)))</f>
        <v>90</v>
      </c>
    </row>
    <row r="265" customFormat="false" ht="15" hidden="false" customHeight="false" outlineLevel="0" collapsed="false">
      <c r="A265" s="18" t="s">
        <v>419</v>
      </c>
      <c r="B265" s="19" t="n">
        <f aca="false">R265-N265</f>
        <v>1</v>
      </c>
      <c r="C265" s="18" t="str">
        <f aca="false">IF(B265&gt;=5,"SMASH BUY",IF(B265&gt;=2,"BUY",IF(B265&gt;=-1,"NEUTRAL",IF(B265&gt;=-4,"AVOID","DO NOT BID"))))</f>
        <v>NEUTRAL</v>
      </c>
      <c r="D265" s="18" t="str">
        <f aca="false">IF(COUNTIFS('Auction Log'!$B$5:$B$304,A265,'Auction Log'!$D$5:$D$304,"&lt;&gt;",'Auction Log'!$E$5:$E$304,"&gt;0")=0,"Available",IFERROR(INDEX('Auction Log'!$D$5:$D$304,MATCH(1,('Auction Log'!$B$5:$B$304=A265)*('Auction Log'!$D$5:$D$304&lt;&gt;"")*('Auction Log'!$E$5:$E$304&gt;0),0)),"SOLD"))</f>
        <v>Available</v>
      </c>
      <c r="E265" s="19" t="str">
        <f aca="false">IF(COUNTIFS('Auction Log'!$B$5:$B$304,A265,'Auction Log'!$D$5:$D$304,"&lt;&gt;",'Auction Log'!$E$5:$E$304,"&gt;0")=0,"",IFERROR(INDEX('Auction Log'!$E$5:$E$304,MATCH(1,('Auction Log'!$B$5:$B$304=A265)*('Auction Log'!$D$5:$D$304&lt;&gt;"")*('Auction Log'!$E$5:$E$304&gt;0),0)),""))</f>
        <v/>
      </c>
      <c r="F265" s="18" t="s">
        <v>132</v>
      </c>
      <c r="G265" s="18" t="s">
        <v>26</v>
      </c>
      <c r="H265" s="18" t="n">
        <v>13</v>
      </c>
      <c r="I265" s="18" t="n">
        <v>267</v>
      </c>
      <c r="J265" s="18" t="n">
        <v>12</v>
      </c>
      <c r="K265" s="36"/>
      <c r="L265" s="36" t="n">
        <v>34</v>
      </c>
      <c r="M265" s="19" t="n">
        <v>0</v>
      </c>
      <c r="N265" s="19" t="n">
        <v>0</v>
      </c>
      <c r="O265" s="19" t="n">
        <v>0</v>
      </c>
      <c r="P265" s="19" t="n">
        <v>0</v>
      </c>
      <c r="Q265" s="19" t="n">
        <v>0</v>
      </c>
      <c r="R265" s="19" t="n">
        <v>1</v>
      </c>
      <c r="S265" s="19" t="n">
        <v>1</v>
      </c>
      <c r="T265" s="18" t="s">
        <v>125</v>
      </c>
      <c r="U265" s="32"/>
      <c r="V265" s="19" t="str">
        <f aca="false">IF(E265="","",R265-E265)</f>
        <v/>
      </c>
      <c r="W265" s="18" t="s">
        <v>128</v>
      </c>
      <c r="X265" s="4" t="n">
        <f aca="false">IF(AND(D265="Available",R265&gt;=55),ROW(),9999)</f>
        <v>9999</v>
      </c>
      <c r="Y265" s="4" t="n">
        <f aca="false">IF(AND(D265="Available",R265&gt;=40,R265&lt;55),ROW(),9999)</f>
        <v>9999</v>
      </c>
      <c r="Z265" s="4" t="n">
        <f aca="false">IF(AND(D265="Available",R265&gt;=25,R265&lt;40),ROW(),9999)</f>
        <v>9999</v>
      </c>
      <c r="AA265" s="35" t="str">
        <f aca="false">IF(K265="","",IF(L265="",K265,ROUND(AVERAGE(K265,L265),0)))</f>
        <v/>
      </c>
    </row>
    <row r="266" customFormat="false" ht="15" hidden="false" customHeight="false" outlineLevel="0" collapsed="false">
      <c r="A266" s="18" t="s">
        <v>420</v>
      </c>
      <c r="B266" s="19" t="n">
        <f aca="false">R266-N266</f>
        <v>1</v>
      </c>
      <c r="C266" s="18" t="str">
        <f aca="false">IF(B266&gt;=5,"SMASH BUY",IF(B266&gt;=2,"BUY",IF(B266&gt;=-1,"NEUTRAL",IF(B266&gt;=-4,"AVOID","DO NOT BID"))))</f>
        <v>NEUTRAL</v>
      </c>
      <c r="D266" s="18" t="str">
        <f aca="false">IF(COUNTIFS('Auction Log'!$B$5:$B$304,A266,'Auction Log'!$D$5:$D$304,"&lt;&gt;",'Auction Log'!$E$5:$E$304,"&gt;0")=0,"Available",IFERROR(INDEX('Auction Log'!$D$5:$D$304,MATCH(1,('Auction Log'!$B$5:$B$304=A266)*('Auction Log'!$D$5:$D$304&lt;&gt;"")*('Auction Log'!$E$5:$E$304&gt;0),0)),"SOLD"))</f>
        <v>Available</v>
      </c>
      <c r="E266" s="19" t="str">
        <f aca="false">IF(COUNTIFS('Auction Log'!$B$5:$B$304,A266,'Auction Log'!$D$5:$D$304,"&lt;&gt;",'Auction Log'!$E$5:$E$304,"&gt;0")=0,"",IFERROR(INDEX('Auction Log'!$E$5:$E$304,MATCH(1,('Auction Log'!$B$5:$B$304=A266)*('Auction Log'!$D$5:$D$304&lt;&gt;"")*('Auction Log'!$E$5:$E$304&gt;0),0)),""))</f>
        <v/>
      </c>
      <c r="F266" s="18" t="s">
        <v>111</v>
      </c>
      <c r="G266" s="18" t="s">
        <v>26</v>
      </c>
      <c r="H266" s="18" t="n">
        <v>8</v>
      </c>
      <c r="I266" s="18" t="n">
        <v>268</v>
      </c>
      <c r="J266" s="18" t="n">
        <v>12</v>
      </c>
      <c r="K266" s="36"/>
      <c r="L266" s="36" t="n">
        <v>37</v>
      </c>
      <c r="M266" s="19" t="n">
        <v>0</v>
      </c>
      <c r="N266" s="19" t="n">
        <v>0</v>
      </c>
      <c r="O266" s="19" t="n">
        <v>0</v>
      </c>
      <c r="P266" s="19" t="n">
        <v>0</v>
      </c>
      <c r="Q266" s="19" t="n">
        <v>0</v>
      </c>
      <c r="R266" s="19" t="n">
        <v>1</v>
      </c>
      <c r="S266" s="19" t="n">
        <v>1</v>
      </c>
      <c r="T266" s="18" t="s">
        <v>125</v>
      </c>
      <c r="U266" s="32"/>
      <c r="V266" s="19" t="str">
        <f aca="false">IF(E266="","",R266-E266)</f>
        <v/>
      </c>
      <c r="W266" s="18" t="s">
        <v>128</v>
      </c>
      <c r="X266" s="4" t="n">
        <f aca="false">IF(AND(D266="Available",R266&gt;=55),ROW(),9999)</f>
        <v>9999</v>
      </c>
      <c r="Y266" s="4" t="n">
        <f aca="false">IF(AND(D266="Available",R266&gt;=40,R266&lt;55),ROW(),9999)</f>
        <v>9999</v>
      </c>
      <c r="Z266" s="4" t="n">
        <f aca="false">IF(AND(D266="Available",R266&gt;=25,R266&lt;40),ROW(),9999)</f>
        <v>9999</v>
      </c>
      <c r="AA266" s="35" t="str">
        <f aca="false">IF(K266="","",IF(L266="",K266,ROUND(AVERAGE(K266,L266),0)))</f>
        <v/>
      </c>
    </row>
    <row r="267" customFormat="false" ht="15" hidden="false" customHeight="false" outlineLevel="0" collapsed="false">
      <c r="A267" s="18" t="s">
        <v>421</v>
      </c>
      <c r="B267" s="19" t="n">
        <f aca="false">R267-N267</f>
        <v>-2</v>
      </c>
      <c r="C267" s="18" t="str">
        <f aca="false">IF(B267&gt;=5,"SMASH BUY",IF(B267&gt;=2,"BUY",IF(B267&gt;=-1,"NEUTRAL",IF(B267&gt;=-4,"AVOID","DO NOT BID"))))</f>
        <v>AVOID</v>
      </c>
      <c r="D267" s="18" t="str">
        <f aca="false">IF(COUNTIFS('Auction Log'!$B$5:$B$304,A267,'Auction Log'!$D$5:$D$304,"&lt;&gt;",'Auction Log'!$E$5:$E$304,"&gt;0")=0,"Available",IFERROR(INDEX('Auction Log'!$D$5:$D$304,MATCH(1,('Auction Log'!$B$5:$B$304=A267)*('Auction Log'!$D$5:$D$304&lt;&gt;"")*('Auction Log'!$E$5:$E$304&gt;0),0)),"SOLD"))</f>
        <v>Available</v>
      </c>
      <c r="E267" s="19" t="str">
        <f aca="false">IF(COUNTIFS('Auction Log'!$B$5:$B$304,A267,'Auction Log'!$D$5:$D$304,"&lt;&gt;",'Auction Log'!$E$5:$E$304,"&gt;0")=0,"",IFERROR(INDEX('Auction Log'!$E$5:$E$304,MATCH(1,('Auction Log'!$B$5:$B$304=A267)*('Auction Log'!$D$5:$D$304&lt;&gt;"")*('Auction Log'!$E$5:$E$304&gt;0),0)),""))</f>
        <v/>
      </c>
      <c r="F267" s="18" t="s">
        <v>100</v>
      </c>
      <c r="G267" s="18" t="s">
        <v>21</v>
      </c>
      <c r="H267" s="18" t="n">
        <v>6</v>
      </c>
      <c r="I267" s="18" t="n">
        <v>269</v>
      </c>
      <c r="J267" s="18" t="n">
        <v>12</v>
      </c>
      <c r="K267" s="36" t="n">
        <v>96</v>
      </c>
      <c r="L267" s="36" t="n">
        <v>100</v>
      </c>
      <c r="M267" s="19" t="n">
        <v>0</v>
      </c>
      <c r="N267" s="19" t="n">
        <v>3</v>
      </c>
      <c r="O267" s="19" t="n">
        <v>-3</v>
      </c>
      <c r="P267" s="19" t="n">
        <v>0</v>
      </c>
      <c r="Q267" s="19" t="n">
        <v>0</v>
      </c>
      <c r="R267" s="19" t="n">
        <v>1</v>
      </c>
      <c r="S267" s="19" t="n">
        <v>1</v>
      </c>
      <c r="T267" s="18" t="s">
        <v>125</v>
      </c>
      <c r="U267" s="32"/>
      <c r="V267" s="19" t="str">
        <f aca="false">IF(E267="","",R267-E267)</f>
        <v/>
      </c>
      <c r="W267" s="18" t="s">
        <v>128</v>
      </c>
      <c r="X267" s="4" t="n">
        <f aca="false">IF(AND(D267="Available",R267&gt;=55),ROW(),9999)</f>
        <v>9999</v>
      </c>
      <c r="Y267" s="4" t="n">
        <f aca="false">IF(AND(D267="Available",R267&gt;=40,R267&lt;55),ROW(),9999)</f>
        <v>9999</v>
      </c>
      <c r="Z267" s="4" t="n">
        <f aca="false">IF(AND(D267="Available",R267&gt;=25,R267&lt;40),ROW(),9999)</f>
        <v>9999</v>
      </c>
      <c r="AA267" s="35" t="n">
        <f aca="false">IF(K267="","",IF(L267="",K267,ROUND(AVERAGE(K267,L267),0)))</f>
        <v>98</v>
      </c>
    </row>
    <row r="268" customFormat="false" ht="15" hidden="false" customHeight="false" outlineLevel="0" collapsed="false">
      <c r="A268" s="18" t="s">
        <v>422</v>
      </c>
      <c r="B268" s="19" t="n">
        <f aca="false">R268-N268</f>
        <v>1</v>
      </c>
      <c r="C268" s="18" t="str">
        <f aca="false">IF(B268&gt;=5,"SMASH BUY",IF(B268&gt;=2,"BUY",IF(B268&gt;=-1,"NEUTRAL",IF(B268&gt;=-4,"AVOID","DO NOT BID"))))</f>
        <v>NEUTRAL</v>
      </c>
      <c r="D268" s="18" t="str">
        <f aca="false">IF(COUNTIFS('Auction Log'!$B$5:$B$304,A268,'Auction Log'!$D$5:$D$304,"&lt;&gt;",'Auction Log'!$E$5:$E$304,"&gt;0")=0,"Available",IFERROR(INDEX('Auction Log'!$D$5:$D$304,MATCH(1,('Auction Log'!$B$5:$B$304=A268)*('Auction Log'!$D$5:$D$304&lt;&gt;"")*('Auction Log'!$E$5:$E$304&gt;0),0)),"SOLD"))</f>
        <v>Available</v>
      </c>
      <c r="E268" s="19" t="str">
        <f aca="false">IF(COUNTIFS('Auction Log'!$B$5:$B$304,A268,'Auction Log'!$D$5:$D$304,"&lt;&gt;",'Auction Log'!$E$5:$E$304,"&gt;0")=0,"",IFERROR(INDEX('Auction Log'!$E$5:$E$304,MATCH(1,('Auction Log'!$B$5:$B$304=A268)*('Auction Log'!$D$5:$D$304&lt;&gt;"")*('Auction Log'!$E$5:$E$304&gt;0),0)),""))</f>
        <v/>
      </c>
      <c r="F268" s="18" t="s">
        <v>124</v>
      </c>
      <c r="G268" s="18" t="s">
        <v>26</v>
      </c>
      <c r="H268" s="18" t="n">
        <v>5</v>
      </c>
      <c r="I268" s="18" t="n">
        <v>270</v>
      </c>
      <c r="J268" s="18" t="n">
        <v>12</v>
      </c>
      <c r="K268" s="36"/>
      <c r="L268" s="36" t="n">
        <v>77</v>
      </c>
      <c r="M268" s="19" t="n">
        <v>0</v>
      </c>
      <c r="N268" s="19" t="n">
        <v>0</v>
      </c>
      <c r="O268" s="19" t="n">
        <v>0</v>
      </c>
      <c r="P268" s="19" t="n">
        <v>0</v>
      </c>
      <c r="Q268" s="19" t="n">
        <v>0</v>
      </c>
      <c r="R268" s="19" t="n">
        <v>1</v>
      </c>
      <c r="S268" s="19" t="n">
        <v>1</v>
      </c>
      <c r="T268" s="18" t="s">
        <v>125</v>
      </c>
      <c r="U268" s="32"/>
      <c r="V268" s="19" t="str">
        <f aca="false">IF(E268="","",R268-E268)</f>
        <v/>
      </c>
      <c r="W268" s="18" t="s">
        <v>128</v>
      </c>
      <c r="X268" s="4" t="n">
        <f aca="false">IF(AND(D268="Available",R268&gt;=55),ROW(),9999)</f>
        <v>9999</v>
      </c>
      <c r="Y268" s="4" t="n">
        <f aca="false">IF(AND(D268="Available",R268&gt;=40,R268&lt;55),ROW(),9999)</f>
        <v>9999</v>
      </c>
      <c r="Z268" s="4" t="n">
        <f aca="false">IF(AND(D268="Available",R268&gt;=25,R268&lt;40),ROW(),9999)</f>
        <v>9999</v>
      </c>
      <c r="AA268" s="35" t="str">
        <f aca="false">IF(K268="","",IF(L268="",K268,ROUND(AVERAGE(K268,L268),0)))</f>
        <v/>
      </c>
    </row>
    <row r="269" customFormat="false" ht="15" hidden="false" customHeight="false" outlineLevel="0" collapsed="false">
      <c r="A269" s="18" t="s">
        <v>423</v>
      </c>
      <c r="B269" s="19" t="n">
        <f aca="false">R269-N269</f>
        <v>0</v>
      </c>
      <c r="C269" s="18" t="str">
        <f aca="false">IF(B269&gt;=5,"SMASH BUY",IF(B269&gt;=2,"BUY",IF(B269&gt;=-1,"NEUTRAL",IF(B269&gt;=-4,"AVOID","DO NOT BID"))))</f>
        <v>NEUTRAL</v>
      </c>
      <c r="D269" s="18" t="str">
        <f aca="false">IF(COUNTIFS('Auction Log'!$B$5:$B$304,A269,'Auction Log'!$D$5:$D$304,"&lt;&gt;",'Auction Log'!$E$5:$E$304,"&gt;0")=0,"Available",IFERROR(INDEX('Auction Log'!$D$5:$D$304,MATCH(1,('Auction Log'!$B$5:$B$304=A269)*('Auction Log'!$D$5:$D$304&lt;&gt;"")*('Auction Log'!$E$5:$E$304&gt;0),0)),"SOLD"))</f>
        <v>Available</v>
      </c>
      <c r="E269" s="19" t="str">
        <f aca="false">IF(COUNTIFS('Auction Log'!$B$5:$B$304,A269,'Auction Log'!$D$5:$D$304,"&lt;&gt;",'Auction Log'!$E$5:$E$304,"&gt;0")=0,"",IFERROR(INDEX('Auction Log'!$E$5:$E$304,MATCH(1,('Auction Log'!$B$5:$B$304=A269)*('Auction Log'!$D$5:$D$304&lt;&gt;"")*('Auction Log'!$E$5:$E$304&gt;0),0)),""))</f>
        <v/>
      </c>
      <c r="F269" s="18" t="s">
        <v>111</v>
      </c>
      <c r="G269" s="18" t="s">
        <v>21</v>
      </c>
      <c r="H269" s="18" t="n">
        <v>8</v>
      </c>
      <c r="I269" s="18" t="n">
        <v>271</v>
      </c>
      <c r="J269" s="18" t="n">
        <v>12</v>
      </c>
      <c r="K269" s="36" t="n">
        <v>76</v>
      </c>
      <c r="L269" s="36" t="n">
        <v>29</v>
      </c>
      <c r="M269" s="19" t="n">
        <v>0</v>
      </c>
      <c r="N269" s="19" t="n">
        <v>1</v>
      </c>
      <c r="O269" s="19" t="n">
        <v>-3</v>
      </c>
      <c r="P269" s="19" t="n">
        <v>-1</v>
      </c>
      <c r="Q269" s="19" t="n">
        <v>0</v>
      </c>
      <c r="R269" s="19" t="n">
        <v>1</v>
      </c>
      <c r="S269" s="19" t="n">
        <v>1</v>
      </c>
      <c r="T269" s="18" t="s">
        <v>125</v>
      </c>
      <c r="U269" s="32"/>
      <c r="V269" s="19" t="str">
        <f aca="false">IF(E269="","",R269-E269)</f>
        <v/>
      </c>
      <c r="W269" s="18" t="s">
        <v>128</v>
      </c>
      <c r="X269" s="4" t="n">
        <f aca="false">IF(AND(D269="Available",R269&gt;=55),ROW(),9999)</f>
        <v>9999</v>
      </c>
      <c r="Y269" s="4" t="n">
        <f aca="false">IF(AND(D269="Available",R269&gt;=40,R269&lt;55),ROW(),9999)</f>
        <v>9999</v>
      </c>
      <c r="Z269" s="4" t="n">
        <f aca="false">IF(AND(D269="Available",R269&gt;=25,R269&lt;40),ROW(),9999)</f>
        <v>9999</v>
      </c>
      <c r="AA269" s="35" t="n">
        <f aca="false">IF(K269="","",IF(L269="",K269,ROUND(AVERAGE(K269,L269),0)))</f>
        <v>53</v>
      </c>
    </row>
    <row r="270" customFormat="false" ht="15" hidden="false" customHeight="false" outlineLevel="0" collapsed="false">
      <c r="A270" s="18" t="s">
        <v>424</v>
      </c>
      <c r="B270" s="19" t="n">
        <f aca="false">R270-N270</f>
        <v>1</v>
      </c>
      <c r="C270" s="18" t="str">
        <f aca="false">IF(B270&gt;=5,"SMASH BUY",IF(B270&gt;=2,"BUY",IF(B270&gt;=-1,"NEUTRAL",IF(B270&gt;=-4,"AVOID","DO NOT BID"))))</f>
        <v>NEUTRAL</v>
      </c>
      <c r="D270" s="18" t="str">
        <f aca="false">IF(COUNTIFS('Auction Log'!$B$5:$B$304,A270,'Auction Log'!$D$5:$D$304,"&lt;&gt;",'Auction Log'!$E$5:$E$304,"&gt;0")=0,"Available",IFERROR(INDEX('Auction Log'!$D$5:$D$304,MATCH(1,('Auction Log'!$B$5:$B$304=A270)*('Auction Log'!$D$5:$D$304&lt;&gt;"")*('Auction Log'!$E$5:$E$304&gt;0),0)),"SOLD"))</f>
        <v>Available</v>
      </c>
      <c r="E270" s="19" t="str">
        <f aca="false">IF(COUNTIFS('Auction Log'!$B$5:$B$304,A270,'Auction Log'!$D$5:$D$304,"&lt;&gt;",'Auction Log'!$E$5:$E$304,"&gt;0")=0,"",IFERROR(INDEX('Auction Log'!$E$5:$E$304,MATCH(1,('Auction Log'!$B$5:$B$304=A270)*('Auction Log'!$D$5:$D$304&lt;&gt;"")*('Auction Log'!$E$5:$E$304&gt;0),0)),""))</f>
        <v/>
      </c>
      <c r="F270" s="18" t="s">
        <v>150</v>
      </c>
      <c r="G270" s="18" t="s">
        <v>26</v>
      </c>
      <c r="H270" s="18" t="n">
        <v>8</v>
      </c>
      <c r="I270" s="18" t="n">
        <v>273</v>
      </c>
      <c r="J270" s="18" t="n">
        <v>12</v>
      </c>
      <c r="K270" s="36"/>
      <c r="L270" s="36" t="n">
        <v>89</v>
      </c>
      <c r="M270" s="19" t="n">
        <v>0</v>
      </c>
      <c r="N270" s="19" t="n">
        <v>0</v>
      </c>
      <c r="O270" s="19" t="n">
        <v>0</v>
      </c>
      <c r="P270" s="19" t="n">
        <v>0</v>
      </c>
      <c r="Q270" s="19" t="n">
        <v>0</v>
      </c>
      <c r="R270" s="19" t="n">
        <v>1</v>
      </c>
      <c r="S270" s="19" t="n">
        <v>1</v>
      </c>
      <c r="T270" s="18" t="s">
        <v>125</v>
      </c>
      <c r="U270" s="32"/>
      <c r="V270" s="19" t="str">
        <f aca="false">IF(E270="","",R270-E270)</f>
        <v/>
      </c>
      <c r="W270" s="18" t="s">
        <v>128</v>
      </c>
      <c r="X270" s="4" t="n">
        <f aca="false">IF(AND(D270="Available",R270&gt;=55),ROW(),9999)</f>
        <v>9999</v>
      </c>
      <c r="Y270" s="4" t="n">
        <f aca="false">IF(AND(D270="Available",R270&gt;=40,R270&lt;55),ROW(),9999)</f>
        <v>9999</v>
      </c>
      <c r="Z270" s="4" t="n">
        <f aca="false">IF(AND(D270="Available",R270&gt;=25,R270&lt;40),ROW(),9999)</f>
        <v>9999</v>
      </c>
      <c r="AA270" s="35" t="str">
        <f aca="false">IF(K270="","",IF(L270="",K270,ROUND(AVERAGE(K270,L270),0)))</f>
        <v/>
      </c>
    </row>
    <row r="271" customFormat="false" ht="15" hidden="false" customHeight="false" outlineLevel="0" collapsed="false">
      <c r="A271" s="18" t="s">
        <v>425</v>
      </c>
      <c r="B271" s="19" t="n">
        <f aca="false">R271-N271</f>
        <v>1</v>
      </c>
      <c r="C271" s="18" t="str">
        <f aca="false">IF(B271&gt;=5,"SMASH BUY",IF(B271&gt;=2,"BUY",IF(B271&gt;=-1,"NEUTRAL",IF(B271&gt;=-4,"AVOID","DO NOT BID"))))</f>
        <v>NEUTRAL</v>
      </c>
      <c r="D271" s="18" t="str">
        <f aca="false">IF(COUNTIFS('Auction Log'!$B$5:$B$304,A271,'Auction Log'!$D$5:$D$304,"&lt;&gt;",'Auction Log'!$E$5:$E$304,"&gt;0")=0,"Available",IFERROR(INDEX('Auction Log'!$D$5:$D$304,MATCH(1,('Auction Log'!$B$5:$B$304=A271)*('Auction Log'!$D$5:$D$304&lt;&gt;"")*('Auction Log'!$E$5:$E$304&gt;0),0)),"SOLD"))</f>
        <v>Available</v>
      </c>
      <c r="E271" s="19" t="str">
        <f aca="false">IF(COUNTIFS('Auction Log'!$B$5:$B$304,A271,'Auction Log'!$D$5:$D$304,"&lt;&gt;",'Auction Log'!$E$5:$E$304,"&gt;0")=0,"",IFERROR(INDEX('Auction Log'!$E$5:$E$304,MATCH(1,('Auction Log'!$B$5:$B$304=A271)*('Auction Log'!$D$5:$D$304&lt;&gt;"")*('Auction Log'!$E$5:$E$304&gt;0),0)),""))</f>
        <v/>
      </c>
      <c r="F271" s="18" t="s">
        <v>158</v>
      </c>
      <c r="G271" s="18" t="s">
        <v>21</v>
      </c>
      <c r="H271" s="18" t="n">
        <v>11</v>
      </c>
      <c r="I271" s="18" t="n">
        <v>274</v>
      </c>
      <c r="J271" s="18" t="n">
        <v>12</v>
      </c>
      <c r="K271" s="36"/>
      <c r="L271" s="36" t="n">
        <v>36</v>
      </c>
      <c r="M271" s="19" t="n">
        <v>0</v>
      </c>
      <c r="N271" s="19" t="n">
        <v>0</v>
      </c>
      <c r="O271" s="19" t="n">
        <v>0</v>
      </c>
      <c r="P271" s="19" t="n">
        <v>0</v>
      </c>
      <c r="Q271" s="19" t="n">
        <v>0</v>
      </c>
      <c r="R271" s="19" t="n">
        <v>1</v>
      </c>
      <c r="S271" s="19" t="n">
        <v>1</v>
      </c>
      <c r="T271" s="18" t="s">
        <v>125</v>
      </c>
      <c r="U271" s="32"/>
      <c r="V271" s="19" t="str">
        <f aca="false">IF(E271="","",R271-E271)</f>
        <v/>
      </c>
      <c r="W271" s="18" t="s">
        <v>128</v>
      </c>
      <c r="X271" s="4" t="n">
        <f aca="false">IF(AND(D271="Available",R271&gt;=55),ROW(),9999)</f>
        <v>9999</v>
      </c>
      <c r="Y271" s="4" t="n">
        <f aca="false">IF(AND(D271="Available",R271&gt;=40,R271&lt;55),ROW(),9999)</f>
        <v>9999</v>
      </c>
      <c r="Z271" s="4" t="n">
        <f aca="false">IF(AND(D271="Available",R271&gt;=25,R271&lt;40),ROW(),9999)</f>
        <v>9999</v>
      </c>
      <c r="AA271" s="35" t="str">
        <f aca="false">IF(K271="","",IF(L271="",K271,ROUND(AVERAGE(K271,L271),0)))</f>
        <v/>
      </c>
    </row>
    <row r="272" customFormat="false" ht="15" hidden="false" customHeight="false" outlineLevel="0" collapsed="false">
      <c r="A272" s="18" t="s">
        <v>426</v>
      </c>
      <c r="B272" s="19" t="n">
        <f aca="false">R272-N272</f>
        <v>1</v>
      </c>
      <c r="C272" s="18" t="str">
        <f aca="false">IF(B272&gt;=5,"SMASH BUY",IF(B272&gt;=2,"BUY",IF(B272&gt;=-1,"NEUTRAL",IF(B272&gt;=-4,"AVOID","DO NOT BID"))))</f>
        <v>NEUTRAL</v>
      </c>
      <c r="D272" s="18" t="str">
        <f aca="false">IF(COUNTIFS('Auction Log'!$B$5:$B$304,A272,'Auction Log'!$D$5:$D$304,"&lt;&gt;",'Auction Log'!$E$5:$E$304,"&gt;0")=0,"Available",IFERROR(INDEX('Auction Log'!$D$5:$D$304,MATCH(1,('Auction Log'!$B$5:$B$304=A272)*('Auction Log'!$D$5:$D$304&lt;&gt;"")*('Auction Log'!$E$5:$E$304&gt;0),0)),"SOLD"))</f>
        <v>Available</v>
      </c>
      <c r="E272" s="19" t="str">
        <f aca="false">IF(COUNTIFS('Auction Log'!$B$5:$B$304,A272,'Auction Log'!$D$5:$D$304,"&lt;&gt;",'Auction Log'!$E$5:$E$304,"&gt;0")=0,"",IFERROR(INDEX('Auction Log'!$E$5:$E$304,MATCH(1,('Auction Log'!$B$5:$B$304=A272)*('Auction Log'!$D$5:$D$304&lt;&gt;"")*('Auction Log'!$E$5:$E$304&gt;0),0)),""))</f>
        <v/>
      </c>
      <c r="F272" s="18" t="s">
        <v>148</v>
      </c>
      <c r="G272" s="18" t="s">
        <v>30</v>
      </c>
      <c r="H272" s="18" t="n">
        <v>13</v>
      </c>
      <c r="I272" s="18" t="n">
        <v>275</v>
      </c>
      <c r="J272" s="18" t="n">
        <v>12</v>
      </c>
      <c r="K272" s="36"/>
      <c r="L272" s="36" t="n">
        <v>66</v>
      </c>
      <c r="M272" s="19" t="n">
        <v>0</v>
      </c>
      <c r="N272" s="19" t="n">
        <v>0</v>
      </c>
      <c r="O272" s="19" t="n">
        <v>0</v>
      </c>
      <c r="P272" s="19" t="n">
        <v>0</v>
      </c>
      <c r="Q272" s="19" t="n">
        <v>0</v>
      </c>
      <c r="R272" s="19" t="n">
        <v>1</v>
      </c>
      <c r="S272" s="19" t="n">
        <v>1</v>
      </c>
      <c r="T272" s="18" t="s">
        <v>125</v>
      </c>
      <c r="U272" s="32"/>
      <c r="V272" s="19" t="str">
        <f aca="false">IF(E272="","",R272-E272)</f>
        <v/>
      </c>
      <c r="W272" s="18" t="s">
        <v>128</v>
      </c>
      <c r="X272" s="4" t="n">
        <f aca="false">IF(AND(D272="Available",R272&gt;=55),ROW(),9999)</f>
        <v>9999</v>
      </c>
      <c r="Y272" s="4" t="n">
        <f aca="false">IF(AND(D272="Available",R272&gt;=40,R272&lt;55),ROW(),9999)</f>
        <v>9999</v>
      </c>
      <c r="Z272" s="4" t="n">
        <f aca="false">IF(AND(D272="Available",R272&gt;=25,R272&lt;40),ROW(),9999)</f>
        <v>9999</v>
      </c>
      <c r="AA272" s="35" t="str">
        <f aca="false">IF(K272="","",IF(L272="",K272,ROUND(AVERAGE(K272,L272),0)))</f>
        <v/>
      </c>
    </row>
    <row r="273" customFormat="false" ht="15" hidden="false" customHeight="false" outlineLevel="0" collapsed="false">
      <c r="A273" s="18" t="s">
        <v>427</v>
      </c>
      <c r="B273" s="19" t="n">
        <f aca="false">R273-N273</f>
        <v>1</v>
      </c>
      <c r="C273" s="18" t="str">
        <f aca="false">IF(B273&gt;=5,"SMASH BUY",IF(B273&gt;=2,"BUY",IF(B273&gt;=-1,"NEUTRAL",IF(B273&gt;=-4,"AVOID","DO NOT BID"))))</f>
        <v>NEUTRAL</v>
      </c>
      <c r="D273" s="18" t="str">
        <f aca="false">IF(COUNTIFS('Auction Log'!$B$5:$B$304,A273,'Auction Log'!$D$5:$D$304,"&lt;&gt;",'Auction Log'!$E$5:$E$304,"&gt;0")=0,"Available",IFERROR(INDEX('Auction Log'!$D$5:$D$304,MATCH(1,('Auction Log'!$B$5:$B$304=A273)*('Auction Log'!$D$5:$D$304&lt;&gt;"")*('Auction Log'!$E$5:$E$304&gt;0),0)),"SOLD"))</f>
        <v>Available</v>
      </c>
      <c r="E273" s="19" t="str">
        <f aca="false">IF(COUNTIFS('Auction Log'!$B$5:$B$304,A273,'Auction Log'!$D$5:$D$304,"&lt;&gt;",'Auction Log'!$E$5:$E$304,"&gt;0")=0,"",IFERROR(INDEX('Auction Log'!$E$5:$E$304,MATCH(1,('Auction Log'!$B$5:$B$304=A273)*('Auction Log'!$D$5:$D$304&lt;&gt;"")*('Auction Log'!$E$5:$E$304&gt;0),0)),""))</f>
        <v/>
      </c>
      <c r="F273" s="18" t="s">
        <v>156</v>
      </c>
      <c r="G273" s="18" t="s">
        <v>26</v>
      </c>
      <c r="H273" s="18" t="n">
        <v>5</v>
      </c>
      <c r="I273" s="18" t="n">
        <v>276</v>
      </c>
      <c r="J273" s="18" t="n">
        <v>12</v>
      </c>
      <c r="K273" s="36"/>
      <c r="L273" s="36" t="n">
        <v>94</v>
      </c>
      <c r="M273" s="19" t="n">
        <v>0</v>
      </c>
      <c r="N273" s="19" t="n">
        <v>0</v>
      </c>
      <c r="O273" s="19" t="n">
        <v>0</v>
      </c>
      <c r="P273" s="19" t="n">
        <v>0</v>
      </c>
      <c r="Q273" s="19" t="n">
        <v>0</v>
      </c>
      <c r="R273" s="19" t="n">
        <v>1</v>
      </c>
      <c r="S273" s="19" t="n">
        <v>1</v>
      </c>
      <c r="T273" s="18" t="s">
        <v>125</v>
      </c>
      <c r="U273" s="32"/>
      <c r="V273" s="19" t="str">
        <f aca="false">IF(E273="","",R273-E273)</f>
        <v/>
      </c>
      <c r="W273" s="18" t="s">
        <v>128</v>
      </c>
      <c r="X273" s="4" t="n">
        <f aca="false">IF(AND(D273="Available",R273&gt;=55),ROW(),9999)</f>
        <v>9999</v>
      </c>
      <c r="Y273" s="4" t="n">
        <f aca="false">IF(AND(D273="Available",R273&gt;=40,R273&lt;55),ROW(),9999)</f>
        <v>9999</v>
      </c>
      <c r="Z273" s="4" t="n">
        <f aca="false">IF(AND(D273="Available",R273&gt;=25,R273&lt;40),ROW(),9999)</f>
        <v>9999</v>
      </c>
      <c r="AA273" s="35" t="str">
        <f aca="false">IF(K273="","",IF(L273="",K273,ROUND(AVERAGE(K273,L273),0)))</f>
        <v/>
      </c>
    </row>
    <row r="274" customFormat="false" ht="15" hidden="false" customHeight="false" outlineLevel="0" collapsed="false">
      <c r="A274" s="18" t="s">
        <v>428</v>
      </c>
      <c r="B274" s="19" t="n">
        <f aca="false">R274-N274</f>
        <v>1</v>
      </c>
      <c r="C274" s="18" t="str">
        <f aca="false">IF(B274&gt;=5,"SMASH BUY",IF(B274&gt;=2,"BUY",IF(B274&gt;=-1,"NEUTRAL",IF(B274&gt;=-4,"AVOID","DO NOT BID"))))</f>
        <v>NEUTRAL</v>
      </c>
      <c r="D274" s="18" t="str">
        <f aca="false">IF(COUNTIFS('Auction Log'!$B$5:$B$304,A274,'Auction Log'!$D$5:$D$304,"&lt;&gt;",'Auction Log'!$E$5:$E$304,"&gt;0")=0,"Available",IFERROR(INDEX('Auction Log'!$D$5:$D$304,MATCH(1,('Auction Log'!$B$5:$B$304=A274)*('Auction Log'!$D$5:$D$304&lt;&gt;"")*('Auction Log'!$E$5:$E$304&gt;0),0)),"SOLD"))</f>
        <v>Available</v>
      </c>
      <c r="E274" s="19" t="str">
        <f aca="false">IF(COUNTIFS('Auction Log'!$B$5:$B$304,A274,'Auction Log'!$D$5:$D$304,"&lt;&gt;",'Auction Log'!$E$5:$E$304,"&gt;0")=0,"",IFERROR(INDEX('Auction Log'!$E$5:$E$304,MATCH(1,('Auction Log'!$B$5:$B$304=A274)*('Auction Log'!$D$5:$D$304&lt;&gt;"")*('Auction Log'!$E$5:$E$304&gt;0),0)),""))</f>
        <v/>
      </c>
      <c r="F274" s="18" t="s">
        <v>150</v>
      </c>
      <c r="G274" s="18" t="s">
        <v>30</v>
      </c>
      <c r="H274" s="18" t="n">
        <v>8</v>
      </c>
      <c r="I274" s="18" t="n">
        <v>277</v>
      </c>
      <c r="J274" s="18" t="n">
        <v>12</v>
      </c>
      <c r="K274" s="36"/>
      <c r="L274" s="36" t="n">
        <v>62</v>
      </c>
      <c r="M274" s="19" t="n">
        <v>0</v>
      </c>
      <c r="N274" s="19" t="n">
        <v>0</v>
      </c>
      <c r="O274" s="19" t="n">
        <v>0</v>
      </c>
      <c r="P274" s="19" t="n">
        <v>0</v>
      </c>
      <c r="Q274" s="19" t="n">
        <v>0</v>
      </c>
      <c r="R274" s="19" t="n">
        <v>1</v>
      </c>
      <c r="S274" s="19" t="n">
        <v>1</v>
      </c>
      <c r="T274" s="18" t="s">
        <v>125</v>
      </c>
      <c r="U274" s="32"/>
      <c r="V274" s="19" t="str">
        <f aca="false">IF(E274="","",R274-E274)</f>
        <v/>
      </c>
      <c r="W274" s="18" t="s">
        <v>128</v>
      </c>
      <c r="X274" s="4" t="n">
        <f aca="false">IF(AND(D274="Available",R274&gt;=55),ROW(),9999)</f>
        <v>9999</v>
      </c>
      <c r="Y274" s="4" t="n">
        <f aca="false">IF(AND(D274="Available",R274&gt;=40,R274&lt;55),ROW(),9999)</f>
        <v>9999</v>
      </c>
      <c r="Z274" s="4" t="n">
        <f aca="false">IF(AND(D274="Available",R274&gt;=25,R274&lt;40),ROW(),9999)</f>
        <v>9999</v>
      </c>
      <c r="AA274" s="35" t="str">
        <f aca="false">IF(K274="","",IF(L274="",K274,ROUND(AVERAGE(K274,L274),0)))</f>
        <v/>
      </c>
    </row>
    <row r="275" customFormat="false" ht="15" hidden="false" customHeight="false" outlineLevel="0" collapsed="false">
      <c r="A275" s="18" t="s">
        <v>429</v>
      </c>
      <c r="B275" s="19" t="n">
        <f aca="false">R275-N275</f>
        <v>1</v>
      </c>
      <c r="C275" s="18" t="str">
        <f aca="false">IF(B275&gt;=5,"SMASH BUY",IF(B275&gt;=2,"BUY",IF(B275&gt;=-1,"NEUTRAL",IF(B275&gt;=-4,"AVOID","DO NOT BID"))))</f>
        <v>NEUTRAL</v>
      </c>
      <c r="D275" s="18" t="str">
        <f aca="false">IF(COUNTIFS('Auction Log'!$B$5:$B$304,A275,'Auction Log'!$D$5:$D$304,"&lt;&gt;",'Auction Log'!$E$5:$E$304,"&gt;0")=0,"Available",IFERROR(INDEX('Auction Log'!$D$5:$D$304,MATCH(1,('Auction Log'!$B$5:$B$304=A275)*('Auction Log'!$D$5:$D$304&lt;&gt;"")*('Auction Log'!$E$5:$E$304&gt;0),0)),"SOLD"))</f>
        <v>Available</v>
      </c>
      <c r="E275" s="19" t="str">
        <f aca="false">IF(COUNTIFS('Auction Log'!$B$5:$B$304,A275,'Auction Log'!$D$5:$D$304,"&lt;&gt;",'Auction Log'!$E$5:$E$304,"&gt;0")=0,"",IFERROR(INDEX('Auction Log'!$E$5:$E$304,MATCH(1,('Auction Log'!$B$5:$B$304=A275)*('Auction Log'!$D$5:$D$304&lt;&gt;"")*('Auction Log'!$E$5:$E$304&gt;0),0)),""))</f>
        <v/>
      </c>
      <c r="F275" s="18" t="s">
        <v>102</v>
      </c>
      <c r="G275" s="18" t="s">
        <v>16</v>
      </c>
      <c r="H275" s="18" t="n">
        <v>11</v>
      </c>
      <c r="I275" s="18" t="n">
        <v>278</v>
      </c>
      <c r="J275" s="18" t="n">
        <v>12</v>
      </c>
      <c r="K275" s="36"/>
      <c r="L275" s="36" t="n">
        <v>113</v>
      </c>
      <c r="M275" s="19" t="n">
        <v>0</v>
      </c>
      <c r="N275" s="19" t="n">
        <v>0</v>
      </c>
      <c r="O275" s="19" t="n">
        <v>0</v>
      </c>
      <c r="P275" s="19" t="n">
        <v>0</v>
      </c>
      <c r="Q275" s="19" t="n">
        <v>0</v>
      </c>
      <c r="R275" s="19" t="n">
        <v>1</v>
      </c>
      <c r="S275" s="19" t="n">
        <v>1</v>
      </c>
      <c r="T275" s="18" t="s">
        <v>125</v>
      </c>
      <c r="U275" s="32"/>
      <c r="V275" s="19" t="str">
        <f aca="false">IF(E275="","",R275-E275)</f>
        <v/>
      </c>
      <c r="W275" s="18" t="s">
        <v>128</v>
      </c>
      <c r="X275" s="4" t="n">
        <f aca="false">IF(AND(D275="Available",R275&gt;=55),ROW(),9999)</f>
        <v>9999</v>
      </c>
      <c r="Y275" s="4" t="n">
        <f aca="false">IF(AND(D275="Available",R275&gt;=40,R275&lt;55),ROW(),9999)</f>
        <v>9999</v>
      </c>
      <c r="Z275" s="4" t="n">
        <f aca="false">IF(AND(D275="Available",R275&gt;=25,R275&lt;40),ROW(),9999)</f>
        <v>9999</v>
      </c>
      <c r="AA275" s="35" t="str">
        <f aca="false">IF(K275="","",IF(L275="",K275,ROUND(AVERAGE(K275,L275),0)))</f>
        <v/>
      </c>
    </row>
    <row r="276" customFormat="false" ht="15" hidden="false" customHeight="false" outlineLevel="0" collapsed="false">
      <c r="A276" s="18" t="s">
        <v>430</v>
      </c>
      <c r="B276" s="19" t="n">
        <f aca="false">R276-N276</f>
        <v>1</v>
      </c>
      <c r="C276" s="18" t="str">
        <f aca="false">IF(B276&gt;=5,"SMASH BUY",IF(B276&gt;=2,"BUY",IF(B276&gt;=-1,"NEUTRAL",IF(B276&gt;=-4,"AVOID","DO NOT BID"))))</f>
        <v>NEUTRAL</v>
      </c>
      <c r="D276" s="18" t="str">
        <f aca="false">IF(COUNTIFS('Auction Log'!$B$5:$B$304,A276,'Auction Log'!$D$5:$D$304,"&lt;&gt;",'Auction Log'!$E$5:$E$304,"&gt;0")=0,"Available",IFERROR(INDEX('Auction Log'!$D$5:$D$304,MATCH(1,('Auction Log'!$B$5:$B$304=A276)*('Auction Log'!$D$5:$D$304&lt;&gt;"")*('Auction Log'!$E$5:$E$304&gt;0),0)),"SOLD"))</f>
        <v>Available</v>
      </c>
      <c r="E276" s="19" t="str">
        <f aca="false">IF(COUNTIFS('Auction Log'!$B$5:$B$304,A276,'Auction Log'!$D$5:$D$304,"&lt;&gt;",'Auction Log'!$E$5:$E$304,"&gt;0")=0,"",IFERROR(INDEX('Auction Log'!$E$5:$E$304,MATCH(1,('Auction Log'!$B$5:$B$304=A276)*('Auction Log'!$D$5:$D$304&lt;&gt;"")*('Auction Log'!$E$5:$E$304&gt;0),0)),""))</f>
        <v/>
      </c>
      <c r="F276" s="18" t="s">
        <v>171</v>
      </c>
      <c r="G276" s="18" t="s">
        <v>26</v>
      </c>
      <c r="H276" s="18" t="n">
        <v>10</v>
      </c>
      <c r="I276" s="18" t="n">
        <v>279</v>
      </c>
      <c r="J276" s="18" t="n">
        <v>12</v>
      </c>
      <c r="K276" s="36"/>
      <c r="L276" s="36" t="n">
        <v>70</v>
      </c>
      <c r="M276" s="19" t="n">
        <v>0</v>
      </c>
      <c r="N276" s="19" t="n">
        <v>0</v>
      </c>
      <c r="O276" s="19" t="n">
        <v>0</v>
      </c>
      <c r="P276" s="19" t="n">
        <v>0</v>
      </c>
      <c r="Q276" s="19" t="n">
        <v>0</v>
      </c>
      <c r="R276" s="19" t="n">
        <v>1</v>
      </c>
      <c r="S276" s="19" t="n">
        <v>1</v>
      </c>
      <c r="T276" s="18" t="s">
        <v>125</v>
      </c>
      <c r="U276" s="32"/>
      <c r="V276" s="19" t="str">
        <f aca="false">IF(E276="","",R276-E276)</f>
        <v/>
      </c>
      <c r="W276" s="18" t="s">
        <v>128</v>
      </c>
      <c r="X276" s="4" t="n">
        <f aca="false">IF(AND(D276="Available",R276&gt;=55),ROW(),9999)</f>
        <v>9999</v>
      </c>
      <c r="Y276" s="4" t="n">
        <f aca="false">IF(AND(D276="Available",R276&gt;=40,R276&lt;55),ROW(),9999)</f>
        <v>9999</v>
      </c>
      <c r="Z276" s="4" t="n">
        <f aca="false">IF(AND(D276="Available",R276&gt;=25,R276&lt;40),ROW(),9999)</f>
        <v>9999</v>
      </c>
      <c r="AA276" s="35" t="str">
        <f aca="false">IF(K276="","",IF(L276="",K276,ROUND(AVERAGE(K276,L276),0)))</f>
        <v/>
      </c>
    </row>
    <row r="277" customFormat="false" ht="15" hidden="false" customHeight="false" outlineLevel="0" collapsed="false">
      <c r="A277" s="18" t="s">
        <v>431</v>
      </c>
      <c r="B277" s="19" t="n">
        <f aca="false">R277-N277</f>
        <v>1</v>
      </c>
      <c r="C277" s="18" t="str">
        <f aca="false">IF(B277&gt;=5,"SMASH BUY",IF(B277&gt;=2,"BUY",IF(B277&gt;=-1,"NEUTRAL",IF(B277&gt;=-4,"AVOID","DO NOT BID"))))</f>
        <v>NEUTRAL</v>
      </c>
      <c r="D277" s="18" t="str">
        <f aca="false">IF(COUNTIFS('Auction Log'!$B$5:$B$304,A277,'Auction Log'!$D$5:$D$304,"&lt;&gt;",'Auction Log'!$E$5:$E$304,"&gt;0")=0,"Available",IFERROR(INDEX('Auction Log'!$D$5:$D$304,MATCH(1,('Auction Log'!$B$5:$B$304=A277)*('Auction Log'!$D$5:$D$304&lt;&gt;"")*('Auction Log'!$E$5:$E$304&gt;0),0)),"SOLD"))</f>
        <v>Available</v>
      </c>
      <c r="E277" s="19" t="str">
        <f aca="false">IF(COUNTIFS('Auction Log'!$B$5:$B$304,A277,'Auction Log'!$D$5:$D$304,"&lt;&gt;",'Auction Log'!$E$5:$E$304,"&gt;0")=0,"",IFERROR(INDEX('Auction Log'!$E$5:$E$304,MATCH(1,('Auction Log'!$B$5:$B$304=A277)*('Auction Log'!$D$5:$D$304&lt;&gt;"")*('Auction Log'!$E$5:$E$304&gt;0),0)),""))</f>
        <v/>
      </c>
      <c r="F277" s="18" t="s">
        <v>138</v>
      </c>
      <c r="G277" s="18" t="s">
        <v>30</v>
      </c>
      <c r="H277" s="18" t="n">
        <v>10</v>
      </c>
      <c r="I277" s="18" t="n">
        <v>281</v>
      </c>
      <c r="J277" s="18" t="n">
        <v>12</v>
      </c>
      <c r="K277" s="36"/>
      <c r="L277" s="36" t="n">
        <v>29</v>
      </c>
      <c r="M277" s="19" t="n">
        <v>0</v>
      </c>
      <c r="N277" s="19" t="n">
        <v>0</v>
      </c>
      <c r="O277" s="19" t="n">
        <v>0</v>
      </c>
      <c r="P277" s="19" t="n">
        <v>0</v>
      </c>
      <c r="Q277" s="19" t="n">
        <v>0</v>
      </c>
      <c r="R277" s="19" t="n">
        <v>1</v>
      </c>
      <c r="S277" s="19" t="n">
        <v>1</v>
      </c>
      <c r="T277" s="18" t="s">
        <v>125</v>
      </c>
      <c r="U277" s="32"/>
      <c r="V277" s="19" t="str">
        <f aca="false">IF(E277="","",R277-E277)</f>
        <v/>
      </c>
      <c r="W277" s="18" t="s">
        <v>128</v>
      </c>
      <c r="X277" s="4" t="n">
        <f aca="false">IF(AND(D277="Available",R277&gt;=55),ROW(),9999)</f>
        <v>9999</v>
      </c>
      <c r="Y277" s="4" t="n">
        <f aca="false">IF(AND(D277="Available",R277&gt;=40,R277&lt;55),ROW(),9999)</f>
        <v>9999</v>
      </c>
      <c r="Z277" s="4" t="n">
        <f aca="false">IF(AND(D277="Available",R277&gt;=25,R277&lt;40),ROW(),9999)</f>
        <v>9999</v>
      </c>
      <c r="AA277" s="35" t="str">
        <f aca="false">IF(K277="","",IF(L277="",K277,ROUND(AVERAGE(K277,L277),0)))</f>
        <v/>
      </c>
    </row>
    <row r="278" customFormat="false" ht="15" hidden="false" customHeight="false" outlineLevel="0" collapsed="false">
      <c r="A278" s="18" t="s">
        <v>432</v>
      </c>
      <c r="B278" s="19" t="n">
        <f aca="false">R278-N278</f>
        <v>1</v>
      </c>
      <c r="C278" s="18" t="str">
        <f aca="false">IF(B278&gt;=5,"SMASH BUY",IF(B278&gt;=2,"BUY",IF(B278&gt;=-1,"NEUTRAL",IF(B278&gt;=-4,"AVOID","DO NOT BID"))))</f>
        <v>NEUTRAL</v>
      </c>
      <c r="D278" s="18" t="str">
        <f aca="false">IF(COUNTIFS('Auction Log'!$B$5:$B$304,A278,'Auction Log'!$D$5:$D$304,"&lt;&gt;",'Auction Log'!$E$5:$E$304,"&gt;0")=0,"Available",IFERROR(INDEX('Auction Log'!$D$5:$D$304,MATCH(1,('Auction Log'!$B$5:$B$304=A278)*('Auction Log'!$D$5:$D$304&lt;&gt;"")*('Auction Log'!$E$5:$E$304&gt;0),0)),"SOLD"))</f>
        <v>Available</v>
      </c>
      <c r="E278" s="19" t="str">
        <f aca="false">IF(COUNTIFS('Auction Log'!$B$5:$B$304,A278,'Auction Log'!$D$5:$D$304,"&lt;&gt;",'Auction Log'!$E$5:$E$304,"&gt;0")=0,"",IFERROR(INDEX('Auction Log'!$E$5:$E$304,MATCH(1,('Auction Log'!$B$5:$B$304=A278)*('Auction Log'!$D$5:$D$304&lt;&gt;"")*('Auction Log'!$E$5:$E$304&gt;0),0)),""))</f>
        <v/>
      </c>
      <c r="F278" s="18" t="s">
        <v>113</v>
      </c>
      <c r="G278" s="18" t="s">
        <v>21</v>
      </c>
      <c r="H278" s="18" t="n">
        <v>13</v>
      </c>
      <c r="I278" s="18" t="n">
        <v>282</v>
      </c>
      <c r="J278" s="18" t="n">
        <v>12</v>
      </c>
      <c r="K278" s="36"/>
      <c r="L278" s="36" t="n">
        <v>36</v>
      </c>
      <c r="M278" s="19" t="n">
        <v>0</v>
      </c>
      <c r="N278" s="19" t="n">
        <v>0</v>
      </c>
      <c r="O278" s="19" t="n">
        <v>0</v>
      </c>
      <c r="P278" s="19" t="n">
        <v>0</v>
      </c>
      <c r="Q278" s="19" t="n">
        <v>0</v>
      </c>
      <c r="R278" s="19" t="n">
        <v>1</v>
      </c>
      <c r="S278" s="19" t="n">
        <v>1</v>
      </c>
      <c r="T278" s="18" t="s">
        <v>125</v>
      </c>
      <c r="U278" s="32"/>
      <c r="V278" s="19" t="str">
        <f aca="false">IF(E278="","",R278-E278)</f>
        <v/>
      </c>
      <c r="W278" s="18" t="s">
        <v>128</v>
      </c>
      <c r="X278" s="4" t="n">
        <f aca="false">IF(AND(D278="Available",R278&gt;=55),ROW(),9999)</f>
        <v>9999</v>
      </c>
      <c r="Y278" s="4" t="n">
        <f aca="false">IF(AND(D278="Available",R278&gt;=40,R278&lt;55),ROW(),9999)</f>
        <v>9999</v>
      </c>
      <c r="Z278" s="4" t="n">
        <f aca="false">IF(AND(D278="Available",R278&gt;=25,R278&lt;40),ROW(),9999)</f>
        <v>9999</v>
      </c>
      <c r="AA278" s="35" t="str">
        <f aca="false">IF(K278="","",IF(L278="",K278,ROUND(AVERAGE(K278,L278),0)))</f>
        <v/>
      </c>
    </row>
    <row r="279" customFormat="false" ht="15" hidden="false" customHeight="false" outlineLevel="0" collapsed="false">
      <c r="A279" s="18" t="s">
        <v>433</v>
      </c>
      <c r="B279" s="19" t="n">
        <f aca="false">R279-N279</f>
        <v>1</v>
      </c>
      <c r="C279" s="18" t="str">
        <f aca="false">IF(B279&gt;=5,"SMASH BUY",IF(B279&gt;=2,"BUY",IF(B279&gt;=-1,"NEUTRAL",IF(B279&gt;=-4,"AVOID","DO NOT BID"))))</f>
        <v>NEUTRAL</v>
      </c>
      <c r="D279" s="18" t="str">
        <f aca="false">IF(COUNTIFS('Auction Log'!$B$5:$B$304,A279,'Auction Log'!$D$5:$D$304,"&lt;&gt;",'Auction Log'!$E$5:$E$304,"&gt;0")=0,"Available",IFERROR(INDEX('Auction Log'!$D$5:$D$304,MATCH(1,('Auction Log'!$B$5:$B$304=A279)*('Auction Log'!$D$5:$D$304&lt;&gt;"")*('Auction Log'!$E$5:$E$304&gt;0),0)),"SOLD"))</f>
        <v>Available</v>
      </c>
      <c r="E279" s="19" t="str">
        <f aca="false">IF(COUNTIFS('Auction Log'!$B$5:$B$304,A279,'Auction Log'!$D$5:$D$304,"&lt;&gt;",'Auction Log'!$E$5:$E$304,"&gt;0")=0,"",IFERROR(INDEX('Auction Log'!$E$5:$E$304,MATCH(1,('Auction Log'!$B$5:$B$304=A279)*('Auction Log'!$D$5:$D$304&lt;&gt;"")*('Auction Log'!$E$5:$E$304&gt;0),0)),""))</f>
        <v/>
      </c>
      <c r="F279" s="18" t="s">
        <v>141</v>
      </c>
      <c r="G279" s="18" t="s">
        <v>16</v>
      </c>
      <c r="H279" s="18" t="n">
        <v>13</v>
      </c>
      <c r="I279" s="18" t="n">
        <v>283</v>
      </c>
      <c r="J279" s="18" t="n">
        <v>12</v>
      </c>
      <c r="K279" s="36"/>
      <c r="L279" s="36" t="n">
        <v>46</v>
      </c>
      <c r="M279" s="19" t="n">
        <v>0</v>
      </c>
      <c r="N279" s="19" t="n">
        <v>0</v>
      </c>
      <c r="O279" s="19" t="n">
        <v>0</v>
      </c>
      <c r="P279" s="19" t="n">
        <v>0</v>
      </c>
      <c r="Q279" s="19" t="n">
        <v>0</v>
      </c>
      <c r="R279" s="19" t="n">
        <v>1</v>
      </c>
      <c r="S279" s="19" t="n">
        <v>1</v>
      </c>
      <c r="T279" s="18" t="s">
        <v>125</v>
      </c>
      <c r="U279" s="32"/>
      <c r="V279" s="19" t="str">
        <f aca="false">IF(E279="","",R279-E279)</f>
        <v/>
      </c>
      <c r="W279" s="18" t="s">
        <v>128</v>
      </c>
      <c r="X279" s="4" t="n">
        <f aca="false">IF(AND(D279="Available",R279&gt;=55),ROW(),9999)</f>
        <v>9999</v>
      </c>
      <c r="Y279" s="4" t="n">
        <f aca="false">IF(AND(D279="Available",R279&gt;=40,R279&lt;55),ROW(),9999)</f>
        <v>9999</v>
      </c>
      <c r="Z279" s="4" t="n">
        <f aca="false">IF(AND(D279="Available",R279&gt;=25,R279&lt;40),ROW(),9999)</f>
        <v>9999</v>
      </c>
      <c r="AA279" s="35" t="str">
        <f aca="false">IF(K279="","",IF(L279="",K279,ROUND(AVERAGE(K279,L279),0)))</f>
        <v/>
      </c>
    </row>
    <row r="280" customFormat="false" ht="15" hidden="false" customHeight="false" outlineLevel="0" collapsed="false">
      <c r="A280" s="18" t="s">
        <v>434</v>
      </c>
      <c r="B280" s="19" t="n">
        <f aca="false">R280-N280</f>
        <v>1</v>
      </c>
      <c r="C280" s="18" t="str">
        <f aca="false">IF(B280&gt;=5,"SMASH BUY",IF(B280&gt;=2,"BUY",IF(B280&gt;=-1,"NEUTRAL",IF(B280&gt;=-4,"AVOID","DO NOT BID"))))</f>
        <v>NEUTRAL</v>
      </c>
      <c r="D280" s="18" t="str">
        <f aca="false">IF(COUNTIFS('Auction Log'!$B$5:$B$304,A280,'Auction Log'!$D$5:$D$304,"&lt;&gt;",'Auction Log'!$E$5:$E$304,"&gt;0")=0,"Available",IFERROR(INDEX('Auction Log'!$D$5:$D$304,MATCH(1,('Auction Log'!$B$5:$B$304=A280)*('Auction Log'!$D$5:$D$304&lt;&gt;"")*('Auction Log'!$E$5:$E$304&gt;0),0)),"SOLD"))</f>
        <v>Available</v>
      </c>
      <c r="E280" s="19" t="str">
        <f aca="false">IF(COUNTIFS('Auction Log'!$B$5:$B$304,A280,'Auction Log'!$D$5:$D$304,"&lt;&gt;",'Auction Log'!$E$5:$E$304,"&gt;0")=0,"",IFERROR(INDEX('Auction Log'!$E$5:$E$304,MATCH(1,('Auction Log'!$B$5:$B$304=A280)*('Auction Log'!$D$5:$D$304&lt;&gt;"")*('Auction Log'!$E$5:$E$304&gt;0),0)),""))</f>
        <v/>
      </c>
      <c r="F280" s="18" t="s">
        <v>124</v>
      </c>
      <c r="G280" s="18" t="s">
        <v>26</v>
      </c>
      <c r="H280" s="18" t="n">
        <v>5</v>
      </c>
      <c r="I280" s="18" t="n">
        <v>284</v>
      </c>
      <c r="J280" s="18" t="n">
        <v>12</v>
      </c>
      <c r="K280" s="36"/>
      <c r="L280" s="36" t="n">
        <v>44</v>
      </c>
      <c r="M280" s="19" t="n">
        <v>0</v>
      </c>
      <c r="N280" s="19" t="n">
        <v>0</v>
      </c>
      <c r="O280" s="19" t="n">
        <v>0</v>
      </c>
      <c r="P280" s="19" t="n">
        <v>0</v>
      </c>
      <c r="Q280" s="19" t="n">
        <v>0</v>
      </c>
      <c r="R280" s="19" t="n">
        <v>1</v>
      </c>
      <c r="S280" s="19" t="n">
        <v>1</v>
      </c>
      <c r="T280" s="18" t="s">
        <v>125</v>
      </c>
      <c r="U280" s="32"/>
      <c r="V280" s="19" t="str">
        <f aca="false">IF(E280="","",R280-E280)</f>
        <v/>
      </c>
      <c r="W280" s="18" t="s">
        <v>128</v>
      </c>
      <c r="X280" s="4" t="n">
        <f aca="false">IF(AND(D280="Available",R280&gt;=55),ROW(),9999)</f>
        <v>9999</v>
      </c>
      <c r="Y280" s="4" t="n">
        <f aca="false">IF(AND(D280="Available",R280&gt;=40,R280&lt;55),ROW(),9999)</f>
        <v>9999</v>
      </c>
      <c r="Z280" s="4" t="n">
        <f aca="false">IF(AND(D280="Available",R280&gt;=25,R280&lt;40),ROW(),9999)</f>
        <v>9999</v>
      </c>
      <c r="AA280" s="35" t="str">
        <f aca="false">IF(K280="","",IF(L280="",K280,ROUND(AVERAGE(K280,L280),0)))</f>
        <v/>
      </c>
    </row>
    <row r="281" customFormat="false" ht="15" hidden="false" customHeight="false" outlineLevel="0" collapsed="false">
      <c r="A281" s="18" t="s">
        <v>435</v>
      </c>
      <c r="B281" s="19" t="n">
        <f aca="false">R281-N281</f>
        <v>1</v>
      </c>
      <c r="C281" s="18" t="str">
        <f aca="false">IF(B281&gt;=5,"SMASH BUY",IF(B281&gt;=2,"BUY",IF(B281&gt;=-1,"NEUTRAL",IF(B281&gt;=-4,"AVOID","DO NOT BID"))))</f>
        <v>NEUTRAL</v>
      </c>
      <c r="D281" s="18" t="str">
        <f aca="false">IF(COUNTIFS('Auction Log'!$B$5:$B$304,A281,'Auction Log'!$D$5:$D$304,"&lt;&gt;",'Auction Log'!$E$5:$E$304,"&gt;0")=0,"Available",IFERROR(INDEX('Auction Log'!$D$5:$D$304,MATCH(1,('Auction Log'!$B$5:$B$304=A281)*('Auction Log'!$D$5:$D$304&lt;&gt;"")*('Auction Log'!$E$5:$E$304&gt;0),0)),"SOLD"))</f>
        <v>Available</v>
      </c>
      <c r="E281" s="19" t="str">
        <f aca="false">IF(COUNTIFS('Auction Log'!$B$5:$B$304,A281,'Auction Log'!$D$5:$D$304,"&lt;&gt;",'Auction Log'!$E$5:$E$304,"&gt;0")=0,"",IFERROR(INDEX('Auction Log'!$E$5:$E$304,MATCH(1,('Auction Log'!$B$5:$B$304=A281)*('Auction Log'!$D$5:$D$304&lt;&gt;"")*('Auction Log'!$E$5:$E$304&gt;0),0)),""))</f>
        <v/>
      </c>
      <c r="F281" s="18" t="s">
        <v>185</v>
      </c>
      <c r="G281" s="18" t="s">
        <v>16</v>
      </c>
      <c r="H281" s="18" t="n">
        <v>11</v>
      </c>
      <c r="I281" s="18" t="n">
        <v>285</v>
      </c>
      <c r="J281" s="18" t="n">
        <v>12</v>
      </c>
      <c r="K281" s="36"/>
      <c r="L281" s="36" t="n">
        <v>124</v>
      </c>
      <c r="M281" s="19" t="n">
        <v>0</v>
      </c>
      <c r="N281" s="19" t="n">
        <v>0</v>
      </c>
      <c r="O281" s="19" t="n">
        <v>0</v>
      </c>
      <c r="P281" s="19" t="n">
        <v>0</v>
      </c>
      <c r="Q281" s="19" t="n">
        <v>0</v>
      </c>
      <c r="R281" s="19" t="n">
        <v>1</v>
      </c>
      <c r="S281" s="19" t="n">
        <v>1</v>
      </c>
      <c r="T281" s="18" t="s">
        <v>125</v>
      </c>
      <c r="U281" s="32"/>
      <c r="V281" s="19" t="str">
        <f aca="false">IF(E281="","",R281-E281)</f>
        <v/>
      </c>
      <c r="W281" s="18" t="s">
        <v>128</v>
      </c>
      <c r="X281" s="4" t="n">
        <f aca="false">IF(AND(D281="Available",R281&gt;=55),ROW(),9999)</f>
        <v>9999</v>
      </c>
      <c r="Y281" s="4" t="n">
        <f aca="false">IF(AND(D281="Available",R281&gt;=40,R281&lt;55),ROW(),9999)</f>
        <v>9999</v>
      </c>
      <c r="Z281" s="4" t="n">
        <f aca="false">IF(AND(D281="Available",R281&gt;=25,R281&lt;40),ROW(),9999)</f>
        <v>9999</v>
      </c>
      <c r="AA281" s="35" t="str">
        <f aca="false">IF(K281="","",IF(L281="",K281,ROUND(AVERAGE(K281,L281),0)))</f>
        <v/>
      </c>
    </row>
    <row r="282" customFormat="false" ht="15" hidden="false" customHeight="false" outlineLevel="0" collapsed="false">
      <c r="A282" s="18" t="s">
        <v>436</v>
      </c>
      <c r="B282" s="19" t="n">
        <f aca="false">R282-N282</f>
        <v>1</v>
      </c>
      <c r="C282" s="18" t="str">
        <f aca="false">IF(B282&gt;=5,"SMASH BUY",IF(B282&gt;=2,"BUY",IF(B282&gt;=-1,"NEUTRAL",IF(B282&gt;=-4,"AVOID","DO NOT BID"))))</f>
        <v>NEUTRAL</v>
      </c>
      <c r="D282" s="18" t="str">
        <f aca="false">IF(COUNTIFS('Auction Log'!$B$5:$B$304,A282,'Auction Log'!$D$5:$D$304,"&lt;&gt;",'Auction Log'!$E$5:$E$304,"&gt;0")=0,"Available",IFERROR(INDEX('Auction Log'!$D$5:$D$304,MATCH(1,('Auction Log'!$B$5:$B$304=A282)*('Auction Log'!$D$5:$D$304&lt;&gt;"")*('Auction Log'!$E$5:$E$304&gt;0),0)),"SOLD"))</f>
        <v>Available</v>
      </c>
      <c r="E282" s="19" t="str">
        <f aca="false">IF(COUNTIFS('Auction Log'!$B$5:$B$304,A282,'Auction Log'!$D$5:$D$304,"&lt;&gt;",'Auction Log'!$E$5:$E$304,"&gt;0")=0,"",IFERROR(INDEX('Auction Log'!$E$5:$E$304,MATCH(1,('Auction Log'!$B$5:$B$304=A282)*('Auction Log'!$D$5:$D$304&lt;&gt;"")*('Auction Log'!$E$5:$E$304&gt;0),0)),""))</f>
        <v/>
      </c>
      <c r="F282" s="18" t="s">
        <v>185</v>
      </c>
      <c r="G282" s="18" t="s">
        <v>16</v>
      </c>
      <c r="H282" s="18" t="n">
        <v>11</v>
      </c>
      <c r="I282" s="18" t="n">
        <v>287</v>
      </c>
      <c r="J282" s="18" t="n">
        <v>12</v>
      </c>
      <c r="K282" s="36"/>
      <c r="L282" s="36" t="n">
        <v>98</v>
      </c>
      <c r="M282" s="19" t="n">
        <v>0</v>
      </c>
      <c r="N282" s="19" t="n">
        <v>0</v>
      </c>
      <c r="O282" s="19" t="n">
        <v>0</v>
      </c>
      <c r="P282" s="19" t="n">
        <v>0</v>
      </c>
      <c r="Q282" s="19" t="n">
        <v>0</v>
      </c>
      <c r="R282" s="19" t="n">
        <v>1</v>
      </c>
      <c r="S282" s="19" t="n">
        <v>1</v>
      </c>
      <c r="T282" s="18" t="s">
        <v>125</v>
      </c>
      <c r="U282" s="32"/>
      <c r="V282" s="19" t="str">
        <f aca="false">IF(E282="","",R282-E282)</f>
        <v/>
      </c>
      <c r="W282" s="18" t="s">
        <v>128</v>
      </c>
      <c r="X282" s="4" t="n">
        <f aca="false">IF(AND(D282="Available",R282&gt;=55),ROW(),9999)</f>
        <v>9999</v>
      </c>
      <c r="Y282" s="4" t="n">
        <f aca="false">IF(AND(D282="Available",R282&gt;=40,R282&lt;55),ROW(),9999)</f>
        <v>9999</v>
      </c>
      <c r="Z282" s="4" t="n">
        <f aca="false">IF(AND(D282="Available",R282&gt;=25,R282&lt;40),ROW(),9999)</f>
        <v>9999</v>
      </c>
      <c r="AA282" s="35" t="str">
        <f aca="false">IF(K282="","",IF(L282="",K282,ROUND(AVERAGE(K282,L282),0)))</f>
        <v/>
      </c>
    </row>
    <row r="283" customFormat="false" ht="15" hidden="false" customHeight="false" outlineLevel="0" collapsed="false">
      <c r="A283" s="18" t="s">
        <v>437</v>
      </c>
      <c r="B283" s="19" t="n">
        <f aca="false">R283-N283</f>
        <v>0</v>
      </c>
      <c r="C283" s="18" t="str">
        <f aca="false">IF(B283&gt;=5,"SMASH BUY",IF(B283&gt;=2,"BUY",IF(B283&gt;=-1,"NEUTRAL",IF(B283&gt;=-4,"AVOID","DO NOT BID"))))</f>
        <v>NEUTRAL</v>
      </c>
      <c r="D283" s="18" t="str">
        <f aca="false">IF(COUNTIFS('Auction Log'!$B$5:$B$304,A283,'Auction Log'!$D$5:$D$304,"&lt;&gt;",'Auction Log'!$E$5:$E$304,"&gt;0")=0,"Available",IFERROR(INDEX('Auction Log'!$D$5:$D$304,MATCH(1,('Auction Log'!$B$5:$B$304=A283)*('Auction Log'!$D$5:$D$304&lt;&gt;"")*('Auction Log'!$E$5:$E$304&gt;0),0)),"SOLD"))</f>
        <v>Available</v>
      </c>
      <c r="E283" s="19" t="str">
        <f aca="false">IF(COUNTIFS('Auction Log'!$B$5:$B$304,A283,'Auction Log'!$D$5:$D$304,"&lt;&gt;",'Auction Log'!$E$5:$E$304,"&gt;0")=0,"",IFERROR(INDEX('Auction Log'!$E$5:$E$304,MATCH(1,('Auction Log'!$B$5:$B$304=A283)*('Auction Log'!$D$5:$D$304&lt;&gt;"")*('Auction Log'!$E$5:$E$304&gt;0),0)),""))</f>
        <v/>
      </c>
      <c r="F283" s="18" t="s">
        <v>102</v>
      </c>
      <c r="G283" s="18" t="s">
        <v>34</v>
      </c>
      <c r="H283" s="18" t="n">
        <v>11</v>
      </c>
      <c r="I283" s="18" t="n">
        <v>288</v>
      </c>
      <c r="J283" s="18" t="n">
        <v>12</v>
      </c>
      <c r="K283" s="36" t="n">
        <v>102</v>
      </c>
      <c r="L283" s="36"/>
      <c r="M283" s="19" t="n">
        <v>0</v>
      </c>
      <c r="N283" s="19" t="n">
        <v>1</v>
      </c>
      <c r="O283" s="19" t="n">
        <v>-3</v>
      </c>
      <c r="P283" s="19" t="n">
        <v>0</v>
      </c>
      <c r="Q283" s="19" t="n">
        <v>0</v>
      </c>
      <c r="R283" s="19" t="n">
        <v>1</v>
      </c>
      <c r="S283" s="19" t="n">
        <v>1</v>
      </c>
      <c r="T283" s="18" t="s">
        <v>125</v>
      </c>
      <c r="U283" s="32"/>
      <c r="V283" s="19" t="str">
        <f aca="false">IF(E283="","",R283-E283)</f>
        <v/>
      </c>
      <c r="W283" s="18" t="s">
        <v>128</v>
      </c>
      <c r="X283" s="4" t="n">
        <f aca="false">IF(AND(D283="Available",R283&gt;=55),ROW(),9999)</f>
        <v>9999</v>
      </c>
      <c r="Y283" s="4" t="n">
        <f aca="false">IF(AND(D283="Available",R283&gt;=40,R283&lt;55),ROW(),9999)</f>
        <v>9999</v>
      </c>
      <c r="Z283" s="4" t="n">
        <f aca="false">IF(AND(D283="Available",R283&gt;=25,R283&lt;40),ROW(),9999)</f>
        <v>9999</v>
      </c>
      <c r="AA283" s="35" t="n">
        <f aca="false">IF(K283="","",IF(L283="",K283,ROUND(AVERAGE(K283,L283),0)))</f>
        <v>102</v>
      </c>
    </row>
    <row r="284" customFormat="false" ht="15" hidden="false" customHeight="false" outlineLevel="0" collapsed="false">
      <c r="A284" s="18" t="s">
        <v>438</v>
      </c>
      <c r="B284" s="19" t="n">
        <f aca="false">R284-N284</f>
        <v>1</v>
      </c>
      <c r="C284" s="18" t="str">
        <f aca="false">IF(B284&gt;=5,"SMASH BUY",IF(B284&gt;=2,"BUY",IF(B284&gt;=-1,"NEUTRAL",IF(B284&gt;=-4,"AVOID","DO NOT BID"))))</f>
        <v>NEUTRAL</v>
      </c>
      <c r="D284" s="18" t="str">
        <f aca="false">IF(COUNTIFS('Auction Log'!$B$5:$B$304,A284,'Auction Log'!$D$5:$D$304,"&lt;&gt;",'Auction Log'!$E$5:$E$304,"&gt;0")=0,"Available",IFERROR(INDEX('Auction Log'!$D$5:$D$304,MATCH(1,('Auction Log'!$B$5:$B$304=A284)*('Auction Log'!$D$5:$D$304&lt;&gt;"")*('Auction Log'!$E$5:$E$304&gt;0),0)),"SOLD"))</f>
        <v>Available</v>
      </c>
      <c r="E284" s="19" t="str">
        <f aca="false">IF(COUNTIFS('Auction Log'!$B$5:$B$304,A284,'Auction Log'!$D$5:$D$304,"&lt;&gt;",'Auction Log'!$E$5:$E$304,"&gt;0")=0,"",IFERROR(INDEX('Auction Log'!$E$5:$E$304,MATCH(1,('Auction Log'!$B$5:$B$304=A284)*('Auction Log'!$D$5:$D$304&lt;&gt;"")*('Auction Log'!$E$5:$E$304&gt;0),0)),""))</f>
        <v/>
      </c>
      <c r="F284" s="18" t="s">
        <v>124</v>
      </c>
      <c r="G284" s="18" t="s">
        <v>21</v>
      </c>
      <c r="H284" s="18" t="n">
        <v>5</v>
      </c>
      <c r="I284" s="18" t="n">
        <v>289</v>
      </c>
      <c r="J284" s="18" t="n">
        <v>12</v>
      </c>
      <c r="K284" s="36"/>
      <c r="L284" s="36" t="n">
        <v>1</v>
      </c>
      <c r="M284" s="19" t="n">
        <v>0</v>
      </c>
      <c r="N284" s="19" t="n">
        <v>0</v>
      </c>
      <c r="O284" s="19" t="n">
        <v>0</v>
      </c>
      <c r="P284" s="19" t="n">
        <v>0</v>
      </c>
      <c r="Q284" s="19" t="n">
        <v>0</v>
      </c>
      <c r="R284" s="19" t="n">
        <v>1</v>
      </c>
      <c r="S284" s="19" t="n">
        <v>1</v>
      </c>
      <c r="T284" s="18" t="s">
        <v>125</v>
      </c>
      <c r="U284" s="32"/>
      <c r="V284" s="19" t="str">
        <f aca="false">IF(E284="","",R284-E284)</f>
        <v/>
      </c>
      <c r="W284" s="18" t="s">
        <v>128</v>
      </c>
      <c r="X284" s="4" t="n">
        <f aca="false">IF(AND(D284="Available",R284&gt;=55),ROW(),9999)</f>
        <v>9999</v>
      </c>
      <c r="Y284" s="4" t="n">
        <f aca="false">IF(AND(D284="Available",R284&gt;=40,R284&lt;55),ROW(),9999)</f>
        <v>9999</v>
      </c>
      <c r="Z284" s="4" t="n">
        <f aca="false">IF(AND(D284="Available",R284&gt;=25,R284&lt;40),ROW(),9999)</f>
        <v>9999</v>
      </c>
      <c r="AA284" s="35" t="str">
        <f aca="false">IF(K284="","",IF(L284="",K284,ROUND(AVERAGE(K284,L284),0)))</f>
        <v/>
      </c>
    </row>
    <row r="285" customFormat="false" ht="15" hidden="false" customHeight="false" outlineLevel="0" collapsed="false">
      <c r="A285" s="18" t="s">
        <v>439</v>
      </c>
      <c r="B285" s="19" t="n">
        <f aca="false">R285-N285</f>
        <v>1</v>
      </c>
      <c r="C285" s="18" t="str">
        <f aca="false">IF(B285&gt;=5,"SMASH BUY",IF(B285&gt;=2,"BUY",IF(B285&gt;=-1,"NEUTRAL",IF(B285&gt;=-4,"AVOID","DO NOT BID"))))</f>
        <v>NEUTRAL</v>
      </c>
      <c r="D285" s="18" t="str">
        <f aca="false">IF(COUNTIFS('Auction Log'!$B$5:$B$304,A285,'Auction Log'!$D$5:$D$304,"&lt;&gt;",'Auction Log'!$E$5:$E$304,"&gt;0")=0,"Available",IFERROR(INDEX('Auction Log'!$D$5:$D$304,MATCH(1,('Auction Log'!$B$5:$B$304=A285)*('Auction Log'!$D$5:$D$304&lt;&gt;"")*('Auction Log'!$E$5:$E$304&gt;0),0)),"SOLD"))</f>
        <v>Available</v>
      </c>
      <c r="E285" s="19" t="str">
        <f aca="false">IF(COUNTIFS('Auction Log'!$B$5:$B$304,A285,'Auction Log'!$D$5:$D$304,"&lt;&gt;",'Auction Log'!$E$5:$E$304,"&gt;0")=0,"",IFERROR(INDEX('Auction Log'!$E$5:$E$304,MATCH(1,('Auction Log'!$B$5:$B$304=A285)*('Auction Log'!$D$5:$D$304&lt;&gt;"")*('Auction Log'!$E$5:$E$304&gt;0),0)),""))</f>
        <v/>
      </c>
      <c r="F285" s="18" t="s">
        <v>128</v>
      </c>
      <c r="G285" s="18" t="s">
        <v>21</v>
      </c>
      <c r="H285" s="18" t="n">
        <v>8</v>
      </c>
      <c r="I285" s="18" t="n">
        <v>290</v>
      </c>
      <c r="J285" s="18" t="n">
        <v>12</v>
      </c>
      <c r="K285" s="36"/>
      <c r="L285" s="36"/>
      <c r="M285" s="19" t="n">
        <v>0</v>
      </c>
      <c r="N285" s="19" t="n">
        <v>0</v>
      </c>
      <c r="O285" s="19" t="n">
        <v>0</v>
      </c>
      <c r="P285" s="19" t="n">
        <v>0</v>
      </c>
      <c r="Q285" s="19" t="n">
        <v>0</v>
      </c>
      <c r="R285" s="19" t="n">
        <v>1</v>
      </c>
      <c r="S285" s="19" t="n">
        <v>1</v>
      </c>
      <c r="T285" s="18" t="s">
        <v>125</v>
      </c>
      <c r="U285" s="32"/>
      <c r="V285" s="19" t="str">
        <f aca="false">IF(E285="","",R285-E285)</f>
        <v/>
      </c>
      <c r="W285" s="18" t="s">
        <v>128</v>
      </c>
      <c r="X285" s="4" t="n">
        <f aca="false">IF(AND(D285="Available",R285&gt;=55),ROW(),9999)</f>
        <v>9999</v>
      </c>
      <c r="Y285" s="4" t="n">
        <f aca="false">IF(AND(D285="Available",R285&gt;=40,R285&lt;55),ROW(),9999)</f>
        <v>9999</v>
      </c>
      <c r="Z285" s="4" t="n">
        <f aca="false">IF(AND(D285="Available",R285&gt;=25,R285&lt;40),ROW(),9999)</f>
        <v>9999</v>
      </c>
      <c r="AA285" s="35" t="str">
        <f aca="false">IF(K285="","",IF(L285="",K285,ROUND(AVERAGE(K285,L285),0)))</f>
        <v/>
      </c>
    </row>
    <row r="286" customFormat="false" ht="15" hidden="false" customHeight="false" outlineLevel="0" collapsed="false">
      <c r="A286" s="18" t="s">
        <v>440</v>
      </c>
      <c r="B286" s="19" t="n">
        <f aca="false">R286-N286</f>
        <v>1</v>
      </c>
      <c r="C286" s="18" t="str">
        <f aca="false">IF(B286&gt;=5,"SMASH BUY",IF(B286&gt;=2,"BUY",IF(B286&gt;=-1,"NEUTRAL",IF(B286&gt;=-4,"AVOID","DO NOT BID"))))</f>
        <v>NEUTRAL</v>
      </c>
      <c r="D286" s="18" t="str">
        <f aca="false">IF(COUNTIFS('Auction Log'!$B$5:$B$304,A286,'Auction Log'!$D$5:$D$304,"&lt;&gt;",'Auction Log'!$E$5:$E$304,"&gt;0")=0,"Available",IFERROR(INDEX('Auction Log'!$D$5:$D$304,MATCH(1,('Auction Log'!$B$5:$B$304=A286)*('Auction Log'!$D$5:$D$304&lt;&gt;"")*('Auction Log'!$E$5:$E$304&gt;0),0)),"SOLD"))</f>
        <v>Available</v>
      </c>
      <c r="E286" s="19" t="str">
        <f aca="false">IF(COUNTIFS('Auction Log'!$B$5:$B$304,A286,'Auction Log'!$D$5:$D$304,"&lt;&gt;",'Auction Log'!$E$5:$E$304,"&gt;0")=0,"",IFERROR(INDEX('Auction Log'!$E$5:$E$304,MATCH(1,('Auction Log'!$B$5:$B$304=A286)*('Auction Log'!$D$5:$D$304&lt;&gt;"")*('Auction Log'!$E$5:$E$304&gt;0),0)),""))</f>
        <v/>
      </c>
      <c r="F286" s="18" t="s">
        <v>115</v>
      </c>
      <c r="G286" s="18" t="s">
        <v>21</v>
      </c>
      <c r="H286" s="18" t="n">
        <v>14</v>
      </c>
      <c r="I286" s="18" t="n">
        <v>292</v>
      </c>
      <c r="J286" s="18" t="n">
        <v>12</v>
      </c>
      <c r="K286" s="36"/>
      <c r="L286" s="36"/>
      <c r="M286" s="19" t="n">
        <v>0</v>
      </c>
      <c r="N286" s="19" t="n">
        <v>0</v>
      </c>
      <c r="O286" s="19" t="n">
        <v>0</v>
      </c>
      <c r="P286" s="19" t="n">
        <v>0</v>
      </c>
      <c r="Q286" s="19" t="n">
        <v>0</v>
      </c>
      <c r="R286" s="19" t="n">
        <v>1</v>
      </c>
      <c r="S286" s="19" t="n">
        <v>1</v>
      </c>
      <c r="T286" s="18" t="s">
        <v>125</v>
      </c>
      <c r="U286" s="32"/>
      <c r="V286" s="19" t="str">
        <f aca="false">IF(E286="","",R286-E286)</f>
        <v/>
      </c>
      <c r="W286" s="18" t="s">
        <v>128</v>
      </c>
      <c r="X286" s="4" t="n">
        <f aca="false">IF(AND(D286="Available",R286&gt;=55),ROW(),9999)</f>
        <v>9999</v>
      </c>
      <c r="Y286" s="4" t="n">
        <f aca="false">IF(AND(D286="Available",R286&gt;=40,R286&lt;55),ROW(),9999)</f>
        <v>9999</v>
      </c>
      <c r="Z286" s="4" t="n">
        <f aca="false">IF(AND(D286="Available",R286&gt;=25,R286&lt;40),ROW(),9999)</f>
        <v>9999</v>
      </c>
      <c r="AA286" s="35" t="str">
        <f aca="false">IF(K286="","",IF(L286="",K286,ROUND(AVERAGE(K286,L286),0)))</f>
        <v/>
      </c>
    </row>
    <row r="287" customFormat="false" ht="15" hidden="false" customHeight="false" outlineLevel="0" collapsed="false">
      <c r="A287" s="18" t="s">
        <v>441</v>
      </c>
      <c r="B287" s="19" t="n">
        <f aca="false">R287-N287</f>
        <v>1</v>
      </c>
      <c r="C287" s="18" t="str">
        <f aca="false">IF(B287&gt;=5,"SMASH BUY",IF(B287&gt;=2,"BUY",IF(B287&gt;=-1,"NEUTRAL",IF(B287&gt;=-4,"AVOID","DO NOT BID"))))</f>
        <v>NEUTRAL</v>
      </c>
      <c r="D287" s="18" t="str">
        <f aca="false">IF(COUNTIFS('Auction Log'!$B$5:$B$304,A287,'Auction Log'!$D$5:$D$304,"&lt;&gt;",'Auction Log'!$E$5:$E$304,"&gt;0")=0,"Available",IFERROR(INDEX('Auction Log'!$D$5:$D$304,MATCH(1,('Auction Log'!$B$5:$B$304=A287)*('Auction Log'!$D$5:$D$304&lt;&gt;"")*('Auction Log'!$E$5:$E$304&gt;0),0)),"SOLD"))</f>
        <v>Available</v>
      </c>
      <c r="E287" s="19" t="str">
        <f aca="false">IF(COUNTIFS('Auction Log'!$B$5:$B$304,A287,'Auction Log'!$D$5:$D$304,"&lt;&gt;",'Auction Log'!$E$5:$E$304,"&gt;0")=0,"",IFERROR(INDEX('Auction Log'!$E$5:$E$304,MATCH(1,('Auction Log'!$B$5:$B$304=A287)*('Auction Log'!$D$5:$D$304&lt;&gt;"")*('Auction Log'!$E$5:$E$304&gt;0),0)),""))</f>
        <v/>
      </c>
      <c r="F287" s="18" t="s">
        <v>113</v>
      </c>
      <c r="G287" s="18" t="s">
        <v>21</v>
      </c>
      <c r="H287" s="18" t="n">
        <v>13</v>
      </c>
      <c r="I287" s="18" t="n">
        <v>293</v>
      </c>
      <c r="J287" s="18" t="n">
        <v>12</v>
      </c>
      <c r="K287" s="36"/>
      <c r="L287" s="36" t="n">
        <v>16</v>
      </c>
      <c r="M287" s="19" t="n">
        <v>0</v>
      </c>
      <c r="N287" s="19" t="n">
        <v>0</v>
      </c>
      <c r="O287" s="19" t="n">
        <v>0</v>
      </c>
      <c r="P287" s="19" t="n">
        <v>0</v>
      </c>
      <c r="Q287" s="19" t="n">
        <v>0</v>
      </c>
      <c r="R287" s="19" t="n">
        <v>1</v>
      </c>
      <c r="S287" s="19" t="n">
        <v>1</v>
      </c>
      <c r="T287" s="18" t="s">
        <v>125</v>
      </c>
      <c r="U287" s="32"/>
      <c r="V287" s="19" t="str">
        <f aca="false">IF(E287="","",R287-E287)</f>
        <v/>
      </c>
      <c r="W287" s="18" t="s">
        <v>128</v>
      </c>
      <c r="X287" s="4" t="n">
        <f aca="false">IF(AND(D287="Available",R287&gt;=55),ROW(),9999)</f>
        <v>9999</v>
      </c>
      <c r="Y287" s="4" t="n">
        <f aca="false">IF(AND(D287="Available",R287&gt;=40,R287&lt;55),ROW(),9999)</f>
        <v>9999</v>
      </c>
      <c r="Z287" s="4" t="n">
        <f aca="false">IF(AND(D287="Available",R287&gt;=25,R287&lt;40),ROW(),9999)</f>
        <v>9999</v>
      </c>
      <c r="AA287" s="35" t="str">
        <f aca="false">IF(K287="","",IF(L287="",K287,ROUND(AVERAGE(K287,L287),0)))</f>
        <v/>
      </c>
    </row>
    <row r="288" customFormat="false" ht="15" hidden="false" customHeight="false" outlineLevel="0" collapsed="false">
      <c r="A288" s="18" t="s">
        <v>442</v>
      </c>
      <c r="B288" s="19" t="n">
        <f aca="false">R288-N288</f>
        <v>1</v>
      </c>
      <c r="C288" s="18" t="str">
        <f aca="false">IF(B288&gt;=5,"SMASH BUY",IF(B288&gt;=2,"BUY",IF(B288&gt;=-1,"NEUTRAL",IF(B288&gt;=-4,"AVOID","DO NOT BID"))))</f>
        <v>NEUTRAL</v>
      </c>
      <c r="D288" s="18" t="str">
        <f aca="false">IF(COUNTIFS('Auction Log'!$B$5:$B$304,A288,'Auction Log'!$D$5:$D$304,"&lt;&gt;",'Auction Log'!$E$5:$E$304,"&gt;0")=0,"Available",IFERROR(INDEX('Auction Log'!$D$5:$D$304,MATCH(1,('Auction Log'!$B$5:$B$304=A288)*('Auction Log'!$D$5:$D$304&lt;&gt;"")*('Auction Log'!$E$5:$E$304&gt;0),0)),"SOLD"))</f>
        <v>Available</v>
      </c>
      <c r="E288" s="19" t="str">
        <f aca="false">IF(COUNTIFS('Auction Log'!$B$5:$B$304,A288,'Auction Log'!$D$5:$D$304,"&lt;&gt;",'Auction Log'!$E$5:$E$304,"&gt;0")=0,"",IFERROR(INDEX('Auction Log'!$E$5:$E$304,MATCH(1,('Auction Log'!$B$5:$B$304=A288)*('Auction Log'!$D$5:$D$304&lt;&gt;"")*('Auction Log'!$E$5:$E$304&gt;0),0)),""))</f>
        <v/>
      </c>
      <c r="F288" s="18" t="s">
        <v>128</v>
      </c>
      <c r="G288" s="18" t="s">
        <v>21</v>
      </c>
      <c r="H288" s="18" t="n">
        <v>8</v>
      </c>
      <c r="I288" s="18" t="n">
        <v>294</v>
      </c>
      <c r="J288" s="18" t="n">
        <v>12</v>
      </c>
      <c r="K288" s="36"/>
      <c r="L288" s="36" t="n">
        <v>16</v>
      </c>
      <c r="M288" s="19" t="n">
        <v>0</v>
      </c>
      <c r="N288" s="19" t="n">
        <v>0</v>
      </c>
      <c r="O288" s="19" t="n">
        <v>0</v>
      </c>
      <c r="P288" s="19" t="n">
        <v>0</v>
      </c>
      <c r="Q288" s="19" t="n">
        <v>0</v>
      </c>
      <c r="R288" s="19" t="n">
        <v>1</v>
      </c>
      <c r="S288" s="19" t="n">
        <v>1</v>
      </c>
      <c r="T288" s="18" t="s">
        <v>125</v>
      </c>
      <c r="U288" s="32"/>
      <c r="V288" s="19" t="str">
        <f aca="false">IF(E288="","",R288-E288)</f>
        <v/>
      </c>
      <c r="W288" s="18" t="s">
        <v>128</v>
      </c>
      <c r="X288" s="4" t="n">
        <f aca="false">IF(AND(D288="Available",R288&gt;=55),ROW(),9999)</f>
        <v>9999</v>
      </c>
      <c r="Y288" s="4" t="n">
        <f aca="false">IF(AND(D288="Available",R288&gt;=40,R288&lt;55),ROW(),9999)</f>
        <v>9999</v>
      </c>
      <c r="Z288" s="4" t="n">
        <f aca="false">IF(AND(D288="Available",R288&gt;=25,R288&lt;40),ROW(),9999)</f>
        <v>9999</v>
      </c>
      <c r="AA288" s="35" t="str">
        <f aca="false">IF(K288="","",IF(L288="",K288,ROUND(AVERAGE(K288,L288),0)))</f>
        <v/>
      </c>
    </row>
    <row r="289" customFormat="false" ht="15" hidden="false" customHeight="false" outlineLevel="0" collapsed="false">
      <c r="A289" s="18" t="s">
        <v>443</v>
      </c>
      <c r="B289" s="19" t="n">
        <f aca="false">R289-N289</f>
        <v>1</v>
      </c>
      <c r="C289" s="18" t="str">
        <f aca="false">IF(B289&gt;=5,"SMASH BUY",IF(B289&gt;=2,"BUY",IF(B289&gt;=-1,"NEUTRAL",IF(B289&gt;=-4,"AVOID","DO NOT BID"))))</f>
        <v>NEUTRAL</v>
      </c>
      <c r="D289" s="18" t="str">
        <f aca="false">IF(COUNTIFS('Auction Log'!$B$5:$B$304,A289,'Auction Log'!$D$5:$D$304,"&lt;&gt;",'Auction Log'!$E$5:$E$304,"&gt;0")=0,"Available",IFERROR(INDEX('Auction Log'!$D$5:$D$304,MATCH(1,('Auction Log'!$B$5:$B$304=A289)*('Auction Log'!$D$5:$D$304&lt;&gt;"")*('Auction Log'!$E$5:$E$304&gt;0),0)),"SOLD"))</f>
        <v>Available</v>
      </c>
      <c r="E289" s="19" t="str">
        <f aca="false">IF(COUNTIFS('Auction Log'!$B$5:$B$304,A289,'Auction Log'!$D$5:$D$304,"&lt;&gt;",'Auction Log'!$E$5:$E$304,"&gt;0")=0,"",IFERROR(INDEX('Auction Log'!$E$5:$E$304,MATCH(1,('Auction Log'!$B$5:$B$304=A289)*('Auction Log'!$D$5:$D$304&lt;&gt;"")*('Auction Log'!$E$5:$E$304&gt;0),0)),""))</f>
        <v/>
      </c>
      <c r="F289" s="18" t="s">
        <v>132</v>
      </c>
      <c r="G289" s="18" t="s">
        <v>21</v>
      </c>
      <c r="H289" s="18" t="n">
        <v>13</v>
      </c>
      <c r="I289" s="18" t="n">
        <v>295</v>
      </c>
      <c r="J289" s="18" t="n">
        <v>12</v>
      </c>
      <c r="K289" s="36"/>
      <c r="L289" s="36" t="n">
        <v>25</v>
      </c>
      <c r="M289" s="19" t="n">
        <v>0</v>
      </c>
      <c r="N289" s="19" t="n">
        <v>0</v>
      </c>
      <c r="O289" s="19" t="n">
        <v>0</v>
      </c>
      <c r="P289" s="19" t="n">
        <v>0</v>
      </c>
      <c r="Q289" s="19" t="n">
        <v>0</v>
      </c>
      <c r="R289" s="19" t="n">
        <v>1</v>
      </c>
      <c r="S289" s="19" t="n">
        <v>1</v>
      </c>
      <c r="T289" s="18" t="s">
        <v>125</v>
      </c>
      <c r="U289" s="32"/>
      <c r="V289" s="19" t="str">
        <f aca="false">IF(E289="","",R289-E289)</f>
        <v/>
      </c>
      <c r="W289" s="18" t="s">
        <v>128</v>
      </c>
      <c r="X289" s="4" t="n">
        <f aca="false">IF(AND(D289="Available",R289&gt;=55),ROW(),9999)</f>
        <v>9999</v>
      </c>
      <c r="Y289" s="4" t="n">
        <f aca="false">IF(AND(D289="Available",R289&gt;=40,R289&lt;55),ROW(),9999)</f>
        <v>9999</v>
      </c>
      <c r="Z289" s="4" t="n">
        <f aca="false">IF(AND(D289="Available",R289&gt;=25,R289&lt;40),ROW(),9999)</f>
        <v>9999</v>
      </c>
      <c r="AA289" s="35" t="str">
        <f aca="false">IF(K289="","",IF(L289="",K289,ROUND(AVERAGE(K289,L289),0)))</f>
        <v/>
      </c>
    </row>
    <row r="290" customFormat="false" ht="15" hidden="false" customHeight="false" outlineLevel="0" collapsed="false">
      <c r="A290" s="18" t="s">
        <v>444</v>
      </c>
      <c r="B290" s="19" t="n">
        <f aca="false">R290-N290</f>
        <v>1</v>
      </c>
      <c r="C290" s="18" t="str">
        <f aca="false">IF(B290&gt;=5,"SMASH BUY",IF(B290&gt;=2,"BUY",IF(B290&gt;=-1,"NEUTRAL",IF(B290&gt;=-4,"AVOID","DO NOT BID"))))</f>
        <v>NEUTRAL</v>
      </c>
      <c r="D290" s="18" t="str">
        <f aca="false">IF(COUNTIFS('Auction Log'!$B$5:$B$304,A290,'Auction Log'!$D$5:$D$304,"&lt;&gt;",'Auction Log'!$E$5:$E$304,"&gt;0")=0,"Available",IFERROR(INDEX('Auction Log'!$D$5:$D$304,MATCH(1,('Auction Log'!$B$5:$B$304=A290)*('Auction Log'!$D$5:$D$304&lt;&gt;"")*('Auction Log'!$E$5:$E$304&gt;0),0)),"SOLD"))</f>
        <v>Available</v>
      </c>
      <c r="E290" s="19" t="str">
        <f aca="false">IF(COUNTIFS('Auction Log'!$B$5:$B$304,A290,'Auction Log'!$D$5:$D$304,"&lt;&gt;",'Auction Log'!$E$5:$E$304,"&gt;0")=0,"",IFERROR(INDEX('Auction Log'!$E$5:$E$304,MATCH(1,('Auction Log'!$B$5:$B$304=A290)*('Auction Log'!$D$5:$D$304&lt;&gt;"")*('Auction Log'!$E$5:$E$304&gt;0),0)),""))</f>
        <v/>
      </c>
      <c r="F290" s="18" t="s">
        <v>150</v>
      </c>
      <c r="G290" s="18" t="s">
        <v>21</v>
      </c>
      <c r="H290" s="18" t="n">
        <v>8</v>
      </c>
      <c r="I290" s="18" t="n">
        <v>296</v>
      </c>
      <c r="J290" s="18" t="n">
        <v>12</v>
      </c>
      <c r="K290" s="36"/>
      <c r="L290" s="36"/>
      <c r="M290" s="19" t="n">
        <v>0</v>
      </c>
      <c r="N290" s="19" t="n">
        <v>0</v>
      </c>
      <c r="O290" s="19" t="n">
        <v>0</v>
      </c>
      <c r="P290" s="19" t="n">
        <v>0</v>
      </c>
      <c r="Q290" s="19" t="n">
        <v>0</v>
      </c>
      <c r="R290" s="19" t="n">
        <v>1</v>
      </c>
      <c r="S290" s="19" t="n">
        <v>1</v>
      </c>
      <c r="T290" s="18" t="s">
        <v>125</v>
      </c>
      <c r="U290" s="32"/>
      <c r="V290" s="19" t="str">
        <f aca="false">IF(E290="","",R290-E290)</f>
        <v/>
      </c>
      <c r="W290" s="18" t="s">
        <v>128</v>
      </c>
      <c r="X290" s="4" t="n">
        <f aca="false">IF(AND(D290="Available",R290&gt;=55),ROW(),9999)</f>
        <v>9999</v>
      </c>
      <c r="Y290" s="4" t="n">
        <f aca="false">IF(AND(D290="Available",R290&gt;=40,R290&lt;55),ROW(),9999)</f>
        <v>9999</v>
      </c>
      <c r="Z290" s="4" t="n">
        <f aca="false">IF(AND(D290="Available",R290&gt;=25,R290&lt;40),ROW(),9999)</f>
        <v>9999</v>
      </c>
      <c r="AA290" s="35" t="str">
        <f aca="false">IF(K290="","",IF(L290="",K290,ROUND(AVERAGE(K290,L290),0)))</f>
        <v/>
      </c>
    </row>
    <row r="291" customFormat="false" ht="15" hidden="false" customHeight="false" outlineLevel="0" collapsed="false">
      <c r="A291" s="18" t="s">
        <v>445</v>
      </c>
      <c r="B291" s="19" t="n">
        <f aca="false">R291-N291</f>
        <v>1</v>
      </c>
      <c r="C291" s="18" t="str">
        <f aca="false">IF(B291&gt;=5,"SMASH BUY",IF(B291&gt;=2,"BUY",IF(B291&gt;=-1,"NEUTRAL",IF(B291&gt;=-4,"AVOID","DO NOT BID"))))</f>
        <v>NEUTRAL</v>
      </c>
      <c r="D291" s="18" t="str">
        <f aca="false">IF(COUNTIFS('Auction Log'!$B$5:$B$304,A291,'Auction Log'!$D$5:$D$304,"&lt;&gt;",'Auction Log'!$E$5:$E$304,"&gt;0")=0,"Available",IFERROR(INDEX('Auction Log'!$D$5:$D$304,MATCH(1,('Auction Log'!$B$5:$B$304=A291)*('Auction Log'!$D$5:$D$304&lt;&gt;"")*('Auction Log'!$E$5:$E$304&gt;0),0)),"SOLD"))</f>
        <v>Available</v>
      </c>
      <c r="E291" s="19" t="str">
        <f aca="false">IF(COUNTIFS('Auction Log'!$B$5:$B$304,A291,'Auction Log'!$D$5:$D$304,"&lt;&gt;",'Auction Log'!$E$5:$E$304,"&gt;0")=0,"",IFERROR(INDEX('Auction Log'!$E$5:$E$304,MATCH(1,('Auction Log'!$B$5:$B$304=A291)*('Auction Log'!$D$5:$D$304&lt;&gt;"")*('Auction Log'!$E$5:$E$304&gt;0),0)),""))</f>
        <v/>
      </c>
      <c r="F291" s="18" t="s">
        <v>138</v>
      </c>
      <c r="G291" s="18" t="s">
        <v>26</v>
      </c>
      <c r="H291" s="18" t="n">
        <v>10</v>
      </c>
      <c r="I291" s="18" t="n">
        <v>297</v>
      </c>
      <c r="J291" s="18" t="n">
        <v>12</v>
      </c>
      <c r="K291" s="36"/>
      <c r="L291" s="36"/>
      <c r="M291" s="19" t="n">
        <v>0</v>
      </c>
      <c r="N291" s="19" t="n">
        <v>0</v>
      </c>
      <c r="O291" s="19" t="n">
        <v>0</v>
      </c>
      <c r="P291" s="19" t="n">
        <v>0</v>
      </c>
      <c r="Q291" s="19" t="n">
        <v>0</v>
      </c>
      <c r="R291" s="19" t="n">
        <v>1</v>
      </c>
      <c r="S291" s="19" t="n">
        <v>1</v>
      </c>
      <c r="T291" s="18" t="s">
        <v>125</v>
      </c>
      <c r="U291" s="32"/>
      <c r="V291" s="19" t="str">
        <f aca="false">IF(E291="","",R291-E291)</f>
        <v/>
      </c>
      <c r="W291" s="18" t="s">
        <v>128</v>
      </c>
      <c r="X291" s="4" t="n">
        <f aca="false">IF(AND(D291="Available",R291&gt;=55),ROW(),9999)</f>
        <v>9999</v>
      </c>
      <c r="Y291" s="4" t="n">
        <f aca="false">IF(AND(D291="Available",R291&gt;=40,R291&lt;55),ROW(),9999)</f>
        <v>9999</v>
      </c>
      <c r="Z291" s="4" t="n">
        <f aca="false">IF(AND(D291="Available",R291&gt;=25,R291&lt;40),ROW(),9999)</f>
        <v>9999</v>
      </c>
      <c r="AA291" s="35" t="str">
        <f aca="false">IF(K291="","",IF(L291="",K291,ROUND(AVERAGE(K291,L291),0)))</f>
        <v/>
      </c>
    </row>
    <row r="292" customFormat="false" ht="15" hidden="false" customHeight="false" outlineLevel="0" collapsed="false">
      <c r="A292" s="18" t="s">
        <v>446</v>
      </c>
      <c r="B292" s="19" t="n">
        <f aca="false">R292-N292</f>
        <v>-1</v>
      </c>
      <c r="C292" s="18" t="str">
        <f aca="false">IF(B292&gt;=5,"SMASH BUY",IF(B292&gt;=2,"BUY",IF(B292&gt;=-1,"NEUTRAL",IF(B292&gt;=-4,"AVOID","DO NOT BID"))))</f>
        <v>NEUTRAL</v>
      </c>
      <c r="D292" s="18" t="str">
        <f aca="false">IF(COUNTIFS('Auction Log'!$B$5:$B$304,A292,'Auction Log'!$D$5:$D$304,"&lt;&gt;",'Auction Log'!$E$5:$E$304,"&gt;0")=0,"Available",IFERROR(INDEX('Auction Log'!$D$5:$D$304,MATCH(1,('Auction Log'!$B$5:$B$304=A292)*('Auction Log'!$D$5:$D$304&lt;&gt;"")*('Auction Log'!$E$5:$E$304&gt;0),0)),"SOLD"))</f>
        <v>Available</v>
      </c>
      <c r="E292" s="19" t="str">
        <f aca="false">IF(COUNTIFS('Auction Log'!$B$5:$B$304,A292,'Auction Log'!$D$5:$D$304,"&lt;&gt;",'Auction Log'!$E$5:$E$304,"&gt;0")=0,"",IFERROR(INDEX('Auction Log'!$E$5:$E$304,MATCH(1,('Auction Log'!$B$5:$B$304=A292)*('Auction Log'!$D$5:$D$304&lt;&gt;"")*('Auction Log'!$E$5:$E$304&gt;0),0)),""))</f>
        <v/>
      </c>
      <c r="F292" s="18" t="s">
        <v>124</v>
      </c>
      <c r="G292" s="18" t="s">
        <v>21</v>
      </c>
      <c r="H292" s="18" t="n">
        <v>5</v>
      </c>
      <c r="I292" s="18" t="n">
        <v>298</v>
      </c>
      <c r="J292" s="18" t="n">
        <v>12</v>
      </c>
      <c r="K292" s="36" t="n">
        <v>83</v>
      </c>
      <c r="L292" s="36" t="n">
        <v>64</v>
      </c>
      <c r="M292" s="19" t="n">
        <v>0</v>
      </c>
      <c r="N292" s="19" t="n">
        <v>2</v>
      </c>
      <c r="O292" s="19" t="n">
        <v>-3</v>
      </c>
      <c r="P292" s="19" t="n">
        <v>0</v>
      </c>
      <c r="Q292" s="19" t="n">
        <v>0</v>
      </c>
      <c r="R292" s="19" t="n">
        <v>1</v>
      </c>
      <c r="S292" s="19" t="n">
        <v>1</v>
      </c>
      <c r="T292" s="18" t="s">
        <v>125</v>
      </c>
      <c r="U292" s="32"/>
      <c r="V292" s="19" t="str">
        <f aca="false">IF(E292="","",R292-E292)</f>
        <v/>
      </c>
      <c r="W292" s="18" t="s">
        <v>128</v>
      </c>
      <c r="X292" s="4" t="n">
        <f aca="false">IF(AND(D292="Available",R292&gt;=55),ROW(),9999)</f>
        <v>9999</v>
      </c>
      <c r="Y292" s="4" t="n">
        <f aca="false">IF(AND(D292="Available",R292&gt;=40,R292&lt;55),ROW(),9999)</f>
        <v>9999</v>
      </c>
      <c r="Z292" s="4" t="n">
        <f aca="false">IF(AND(D292="Available",R292&gt;=25,R292&lt;40),ROW(),9999)</f>
        <v>9999</v>
      </c>
      <c r="AA292" s="35" t="n">
        <f aca="false">IF(K292="","",IF(L292="",K292,ROUND(AVERAGE(K292,L292),0)))</f>
        <v>74</v>
      </c>
    </row>
    <row r="293" customFormat="false" ht="15" hidden="false" customHeight="false" outlineLevel="0" collapsed="false">
      <c r="A293" s="18" t="s">
        <v>447</v>
      </c>
      <c r="B293" s="19" t="n">
        <f aca="false">R293-N293</f>
        <v>1</v>
      </c>
      <c r="C293" s="18" t="str">
        <f aca="false">IF(B293&gt;=5,"SMASH BUY",IF(B293&gt;=2,"BUY",IF(B293&gt;=-1,"NEUTRAL",IF(B293&gt;=-4,"AVOID","DO NOT BID"))))</f>
        <v>NEUTRAL</v>
      </c>
      <c r="D293" s="18" t="str">
        <f aca="false">IF(COUNTIFS('Auction Log'!$B$5:$B$304,A293,'Auction Log'!$D$5:$D$304,"&lt;&gt;",'Auction Log'!$E$5:$E$304,"&gt;0")=0,"Available",IFERROR(INDEX('Auction Log'!$D$5:$D$304,MATCH(1,('Auction Log'!$B$5:$B$304=A293)*('Auction Log'!$D$5:$D$304&lt;&gt;"")*('Auction Log'!$E$5:$E$304&gt;0),0)),"SOLD"))</f>
        <v>Available</v>
      </c>
      <c r="E293" s="19" t="str">
        <f aca="false">IF(COUNTIFS('Auction Log'!$B$5:$B$304,A293,'Auction Log'!$D$5:$D$304,"&lt;&gt;",'Auction Log'!$E$5:$E$304,"&gt;0")=0,"",IFERROR(INDEX('Auction Log'!$E$5:$E$304,MATCH(1,('Auction Log'!$B$5:$B$304=A293)*('Auction Log'!$D$5:$D$304&lt;&gt;"")*('Auction Log'!$E$5:$E$304&gt;0),0)),""))</f>
        <v/>
      </c>
      <c r="F293" s="18" t="s">
        <v>130</v>
      </c>
      <c r="G293" s="18" t="s">
        <v>26</v>
      </c>
      <c r="H293" s="18" t="n">
        <v>11</v>
      </c>
      <c r="I293" s="18" t="n">
        <v>299</v>
      </c>
      <c r="J293" s="18" t="n">
        <v>12</v>
      </c>
      <c r="K293" s="36"/>
      <c r="L293" s="36"/>
      <c r="M293" s="19" t="n">
        <v>0</v>
      </c>
      <c r="N293" s="19" t="n">
        <v>0</v>
      </c>
      <c r="O293" s="19" t="n">
        <v>0</v>
      </c>
      <c r="P293" s="19" t="n">
        <v>0</v>
      </c>
      <c r="Q293" s="19" t="n">
        <v>0</v>
      </c>
      <c r="R293" s="19" t="n">
        <v>1</v>
      </c>
      <c r="S293" s="19" t="n">
        <v>1</v>
      </c>
      <c r="T293" s="18" t="s">
        <v>125</v>
      </c>
      <c r="U293" s="32"/>
      <c r="V293" s="19" t="str">
        <f aca="false">IF(E293="","",R293-E293)</f>
        <v/>
      </c>
      <c r="W293" s="18" t="s">
        <v>128</v>
      </c>
      <c r="X293" s="4" t="n">
        <f aca="false">IF(AND(D293="Available",R293&gt;=55),ROW(),9999)</f>
        <v>9999</v>
      </c>
      <c r="Y293" s="4" t="n">
        <f aca="false">IF(AND(D293="Available",R293&gt;=40,R293&lt;55),ROW(),9999)</f>
        <v>9999</v>
      </c>
      <c r="Z293" s="4" t="n">
        <f aca="false">IF(AND(D293="Available",R293&gt;=25,R293&lt;40),ROW(),9999)</f>
        <v>9999</v>
      </c>
      <c r="AA293" s="35" t="str">
        <f aca="false">IF(K293="","",IF(L293="",K293,ROUND(AVERAGE(K293,L293),0)))</f>
        <v/>
      </c>
    </row>
    <row r="294" customFormat="false" ht="15" hidden="false" customHeight="false" outlineLevel="0" collapsed="false">
      <c r="A294" s="18" t="s">
        <v>448</v>
      </c>
      <c r="B294" s="19" t="n">
        <f aca="false">R294-N294</f>
        <v>1</v>
      </c>
      <c r="C294" s="18" t="str">
        <f aca="false">IF(B294&gt;=5,"SMASH BUY",IF(B294&gt;=2,"BUY",IF(B294&gt;=-1,"NEUTRAL",IF(B294&gt;=-4,"AVOID","DO NOT BID"))))</f>
        <v>NEUTRAL</v>
      </c>
      <c r="D294" s="18" t="str">
        <f aca="false">IF(COUNTIFS('Auction Log'!$B$5:$B$304,A294,'Auction Log'!$D$5:$D$304,"&lt;&gt;",'Auction Log'!$E$5:$E$304,"&gt;0")=0,"Available",IFERROR(INDEX('Auction Log'!$D$5:$D$304,MATCH(1,('Auction Log'!$B$5:$B$304=A294)*('Auction Log'!$D$5:$D$304&lt;&gt;"")*('Auction Log'!$E$5:$E$304&gt;0),0)),"SOLD"))</f>
        <v>Available</v>
      </c>
      <c r="E294" s="19" t="str">
        <f aca="false">IF(COUNTIFS('Auction Log'!$B$5:$B$304,A294,'Auction Log'!$D$5:$D$304,"&lt;&gt;",'Auction Log'!$E$5:$E$304,"&gt;0")=0,"",IFERROR(INDEX('Auction Log'!$E$5:$E$304,MATCH(1,('Auction Log'!$B$5:$B$304=A294)*('Auction Log'!$D$5:$D$304&lt;&gt;"")*('Auction Log'!$E$5:$E$304&gt;0),0)),""))</f>
        <v/>
      </c>
      <c r="F294" s="18" t="s">
        <v>204</v>
      </c>
      <c r="G294" s="18" t="s">
        <v>21</v>
      </c>
      <c r="H294" s="18" t="n">
        <v>9</v>
      </c>
      <c r="I294" s="18" t="n">
        <v>300</v>
      </c>
      <c r="J294" s="18" t="n">
        <v>12</v>
      </c>
      <c r="K294" s="36"/>
      <c r="L294" s="36" t="n">
        <v>5</v>
      </c>
      <c r="M294" s="19" t="n">
        <v>0</v>
      </c>
      <c r="N294" s="19" t="n">
        <v>0</v>
      </c>
      <c r="O294" s="19" t="n">
        <v>0</v>
      </c>
      <c r="P294" s="19" t="n">
        <v>0</v>
      </c>
      <c r="Q294" s="19" t="n">
        <v>0</v>
      </c>
      <c r="R294" s="19" t="n">
        <v>1</v>
      </c>
      <c r="S294" s="19" t="n">
        <v>1</v>
      </c>
      <c r="T294" s="18" t="s">
        <v>125</v>
      </c>
      <c r="U294" s="32"/>
      <c r="V294" s="19" t="str">
        <f aca="false">IF(E294="","",R294-E294)</f>
        <v/>
      </c>
      <c r="W294" s="18" t="s">
        <v>128</v>
      </c>
      <c r="X294" s="4" t="n">
        <f aca="false">IF(AND(D294="Available",R294&gt;=55),ROW(),9999)</f>
        <v>9999</v>
      </c>
      <c r="Y294" s="4" t="n">
        <f aca="false">IF(AND(D294="Available",R294&gt;=40,R294&lt;55),ROW(),9999)</f>
        <v>9999</v>
      </c>
      <c r="Z294" s="4" t="n">
        <f aca="false">IF(AND(D294="Available",R294&gt;=25,R294&lt;40),ROW(),9999)</f>
        <v>9999</v>
      </c>
      <c r="AA294" s="35" t="str">
        <f aca="false">IF(K294="","",IF(L294="",K294,ROUND(AVERAGE(K294,L294),0)))</f>
        <v/>
      </c>
    </row>
    <row r="295" customFormat="false" ht="15" hidden="false" customHeight="false" outlineLevel="0" collapsed="false">
      <c r="A295" s="18" t="s">
        <v>449</v>
      </c>
      <c r="B295" s="19" t="n">
        <f aca="false">R295-N295</f>
        <v>1</v>
      </c>
      <c r="C295" s="18" t="str">
        <f aca="false">IF(B295&gt;=5,"SMASH BUY",IF(B295&gt;=2,"BUY",IF(B295&gt;=-1,"NEUTRAL",IF(B295&gt;=-4,"AVOID","DO NOT BID"))))</f>
        <v>NEUTRAL</v>
      </c>
      <c r="D295" s="18" t="str">
        <f aca="false">IF(COUNTIFS('Auction Log'!$B$5:$B$304,A295,'Auction Log'!$D$5:$D$304,"&lt;&gt;",'Auction Log'!$E$5:$E$304,"&gt;0")=0,"Available",IFERROR(INDEX('Auction Log'!$D$5:$D$304,MATCH(1,('Auction Log'!$B$5:$B$304=A295)*('Auction Log'!$D$5:$D$304&lt;&gt;"")*('Auction Log'!$E$5:$E$304&gt;0),0)),"SOLD"))</f>
        <v>Available</v>
      </c>
      <c r="E295" s="19" t="str">
        <f aca="false">IF(COUNTIFS('Auction Log'!$B$5:$B$304,A295,'Auction Log'!$D$5:$D$304,"&lt;&gt;",'Auction Log'!$E$5:$E$304,"&gt;0")=0,"",IFERROR(INDEX('Auction Log'!$E$5:$E$304,MATCH(1,('Auction Log'!$B$5:$B$304=A295)*('Auction Log'!$D$5:$D$304&lt;&gt;"")*('Auction Log'!$E$5:$E$304&gt;0),0)),""))</f>
        <v/>
      </c>
      <c r="F295" s="18" t="s">
        <v>100</v>
      </c>
      <c r="G295" s="18" t="s">
        <v>30</v>
      </c>
      <c r="H295" s="18" t="n">
        <v>6</v>
      </c>
      <c r="I295" s="18" t="n">
        <v>301</v>
      </c>
      <c r="J295" s="18" t="n">
        <v>12</v>
      </c>
      <c r="K295" s="36"/>
      <c r="L295" s="36" t="n">
        <v>86</v>
      </c>
      <c r="M295" s="19" t="n">
        <v>0</v>
      </c>
      <c r="N295" s="19" t="n">
        <v>0</v>
      </c>
      <c r="O295" s="19" t="n">
        <v>0</v>
      </c>
      <c r="P295" s="19" t="n">
        <v>0</v>
      </c>
      <c r="Q295" s="19" t="n">
        <v>0</v>
      </c>
      <c r="R295" s="19" t="n">
        <v>1</v>
      </c>
      <c r="S295" s="19" t="n">
        <v>1</v>
      </c>
      <c r="T295" s="18" t="s">
        <v>125</v>
      </c>
      <c r="U295" s="32"/>
      <c r="V295" s="19" t="str">
        <f aca="false">IF(E295="","",R295-E295)</f>
        <v/>
      </c>
      <c r="W295" s="18" t="s">
        <v>128</v>
      </c>
      <c r="X295" s="4" t="n">
        <f aca="false">IF(AND(D295="Available",R295&gt;=55),ROW(),9999)</f>
        <v>9999</v>
      </c>
      <c r="Y295" s="4" t="n">
        <f aca="false">IF(AND(D295="Available",R295&gt;=40,R295&lt;55),ROW(),9999)</f>
        <v>9999</v>
      </c>
      <c r="Z295" s="4" t="n">
        <f aca="false">IF(AND(D295="Available",R295&gt;=25,R295&lt;40),ROW(),9999)</f>
        <v>9999</v>
      </c>
      <c r="AA295" s="35" t="str">
        <f aca="false">IF(K295="","",IF(L295="",K295,ROUND(AVERAGE(K295,L295),0)))</f>
        <v/>
      </c>
    </row>
    <row r="296" customFormat="false" ht="15" hidden="false" customHeight="false" outlineLevel="0" collapsed="false">
      <c r="A296" s="18" t="s">
        <v>450</v>
      </c>
      <c r="B296" s="19" t="n">
        <f aca="false">R296-N296</f>
        <v>1</v>
      </c>
      <c r="C296" s="18" t="str">
        <f aca="false">IF(B296&gt;=5,"SMASH BUY",IF(B296&gt;=2,"BUY",IF(B296&gt;=-1,"NEUTRAL",IF(B296&gt;=-4,"AVOID","DO NOT BID"))))</f>
        <v>NEUTRAL</v>
      </c>
      <c r="D296" s="18" t="str">
        <f aca="false">IF(COUNTIFS('Auction Log'!$B$5:$B$304,A296,'Auction Log'!$D$5:$D$304,"&lt;&gt;",'Auction Log'!$E$5:$E$304,"&gt;0")=0,"Available",IFERROR(INDEX('Auction Log'!$D$5:$D$304,MATCH(1,('Auction Log'!$B$5:$B$304=A296)*('Auction Log'!$D$5:$D$304&lt;&gt;"")*('Auction Log'!$E$5:$E$304&gt;0),0)),"SOLD"))</f>
        <v>Available</v>
      </c>
      <c r="E296" s="19" t="str">
        <f aca="false">IF(COUNTIFS('Auction Log'!$B$5:$B$304,A296,'Auction Log'!$D$5:$D$304,"&lt;&gt;",'Auction Log'!$E$5:$E$304,"&gt;0")=0,"",IFERROR(INDEX('Auction Log'!$E$5:$E$304,MATCH(1,('Auction Log'!$B$5:$B$304=A296)*('Auction Log'!$D$5:$D$304&lt;&gt;"")*('Auction Log'!$E$5:$E$304&gt;0),0)),""))</f>
        <v/>
      </c>
      <c r="F296" s="18" t="s">
        <v>185</v>
      </c>
      <c r="G296" s="18" t="s">
        <v>26</v>
      </c>
      <c r="H296" s="18" t="n">
        <v>11</v>
      </c>
      <c r="I296" s="18" t="n">
        <v>302</v>
      </c>
      <c r="J296" s="18" t="n">
        <v>12</v>
      </c>
      <c r="K296" s="36"/>
      <c r="L296" s="36" t="n">
        <v>31</v>
      </c>
      <c r="M296" s="19" t="n">
        <v>0</v>
      </c>
      <c r="N296" s="19" t="n">
        <v>0</v>
      </c>
      <c r="O296" s="19" t="n">
        <v>0</v>
      </c>
      <c r="P296" s="19" t="n">
        <v>0</v>
      </c>
      <c r="Q296" s="19" t="n">
        <v>0</v>
      </c>
      <c r="R296" s="19" t="n">
        <v>1</v>
      </c>
      <c r="S296" s="19" t="n">
        <v>1</v>
      </c>
      <c r="T296" s="18" t="s">
        <v>125</v>
      </c>
      <c r="U296" s="32"/>
      <c r="V296" s="19" t="str">
        <f aca="false">IF(E296="","",R296-E296)</f>
        <v/>
      </c>
      <c r="W296" s="18" t="s">
        <v>128</v>
      </c>
      <c r="X296" s="4" t="n">
        <f aca="false">IF(AND(D296="Available",R296&gt;=55),ROW(),9999)</f>
        <v>9999</v>
      </c>
      <c r="Y296" s="4" t="n">
        <f aca="false">IF(AND(D296="Available",R296&gt;=40,R296&lt;55),ROW(),9999)</f>
        <v>9999</v>
      </c>
      <c r="Z296" s="4" t="n">
        <f aca="false">IF(AND(D296="Available",R296&gt;=25,R296&lt;40),ROW(),9999)</f>
        <v>9999</v>
      </c>
      <c r="AA296" s="35" t="str">
        <f aca="false">IF(K296="","",IF(L296="",K296,ROUND(AVERAGE(K296,L296),0)))</f>
        <v/>
      </c>
    </row>
    <row r="297" customFormat="false" ht="15" hidden="false" customHeight="false" outlineLevel="0" collapsed="false">
      <c r="A297" s="18" t="s">
        <v>451</v>
      </c>
      <c r="B297" s="19" t="n">
        <f aca="false">R297-N297</f>
        <v>1</v>
      </c>
      <c r="C297" s="18" t="str">
        <f aca="false">IF(B297&gt;=5,"SMASH BUY",IF(B297&gt;=2,"BUY",IF(B297&gt;=-1,"NEUTRAL",IF(B297&gt;=-4,"AVOID","DO NOT BID"))))</f>
        <v>NEUTRAL</v>
      </c>
      <c r="D297" s="18" t="str">
        <f aca="false">IF(COUNTIFS('Auction Log'!$B$5:$B$304,A297,'Auction Log'!$D$5:$D$304,"&lt;&gt;",'Auction Log'!$E$5:$E$304,"&gt;0")=0,"Available",IFERROR(INDEX('Auction Log'!$D$5:$D$304,MATCH(1,('Auction Log'!$B$5:$B$304=A297)*('Auction Log'!$D$5:$D$304&lt;&gt;"")*('Auction Log'!$E$5:$E$304&gt;0),0)),"SOLD"))</f>
        <v>Available</v>
      </c>
      <c r="E297" s="19" t="str">
        <f aca="false">IF(COUNTIFS('Auction Log'!$B$5:$B$304,A297,'Auction Log'!$D$5:$D$304,"&lt;&gt;",'Auction Log'!$E$5:$E$304,"&gt;0")=0,"",IFERROR(INDEX('Auction Log'!$E$5:$E$304,MATCH(1,('Auction Log'!$B$5:$B$304=A297)*('Auction Log'!$D$5:$D$304&lt;&gt;"")*('Auction Log'!$E$5:$E$304&gt;0),0)),""))</f>
        <v/>
      </c>
      <c r="F297" s="18" t="s">
        <v>130</v>
      </c>
      <c r="G297" s="18" t="s">
        <v>26</v>
      </c>
      <c r="H297" s="18" t="n">
        <v>11</v>
      </c>
      <c r="I297" s="18" t="n">
        <v>303</v>
      </c>
      <c r="J297" s="18" t="n">
        <v>12</v>
      </c>
      <c r="K297" s="36"/>
      <c r="L297" s="36" t="n">
        <v>28</v>
      </c>
      <c r="M297" s="19" t="n">
        <v>0</v>
      </c>
      <c r="N297" s="19" t="n">
        <v>0</v>
      </c>
      <c r="O297" s="19" t="n">
        <v>0</v>
      </c>
      <c r="P297" s="19" t="n">
        <v>0</v>
      </c>
      <c r="Q297" s="19" t="n">
        <v>0</v>
      </c>
      <c r="R297" s="19" t="n">
        <v>1</v>
      </c>
      <c r="S297" s="19" t="n">
        <v>1</v>
      </c>
      <c r="T297" s="18" t="s">
        <v>125</v>
      </c>
      <c r="U297" s="32"/>
      <c r="V297" s="19" t="str">
        <f aca="false">IF(E297="","",R297-E297)</f>
        <v/>
      </c>
      <c r="W297" s="18" t="s">
        <v>128</v>
      </c>
      <c r="X297" s="4" t="n">
        <f aca="false">IF(AND(D297="Available",R297&gt;=55),ROW(),9999)</f>
        <v>9999</v>
      </c>
      <c r="Y297" s="4" t="n">
        <f aca="false">IF(AND(D297="Available",R297&gt;=40,R297&lt;55),ROW(),9999)</f>
        <v>9999</v>
      </c>
      <c r="Z297" s="4" t="n">
        <f aca="false">IF(AND(D297="Available",R297&gt;=25,R297&lt;40),ROW(),9999)</f>
        <v>9999</v>
      </c>
      <c r="AA297" s="35" t="str">
        <f aca="false">IF(K297="","",IF(L297="",K297,ROUND(AVERAGE(K297,L297),0)))</f>
        <v/>
      </c>
    </row>
    <row r="298" customFormat="false" ht="15" hidden="false" customHeight="false" outlineLevel="0" collapsed="false">
      <c r="A298" s="18" t="s">
        <v>452</v>
      </c>
      <c r="B298" s="19" t="n">
        <f aca="false">R298-N298</f>
        <v>1</v>
      </c>
      <c r="C298" s="18" t="str">
        <f aca="false">IF(B298&gt;=5,"SMASH BUY",IF(B298&gt;=2,"BUY",IF(B298&gt;=-1,"NEUTRAL",IF(B298&gt;=-4,"AVOID","DO NOT BID"))))</f>
        <v>NEUTRAL</v>
      </c>
      <c r="D298" s="18" t="str">
        <f aca="false">IF(COUNTIFS('Auction Log'!$B$5:$B$304,A298,'Auction Log'!$D$5:$D$304,"&lt;&gt;",'Auction Log'!$E$5:$E$304,"&gt;0")=0,"Available",IFERROR(INDEX('Auction Log'!$D$5:$D$304,MATCH(1,('Auction Log'!$B$5:$B$304=A298)*('Auction Log'!$D$5:$D$304&lt;&gt;"")*('Auction Log'!$E$5:$E$304&gt;0),0)),"SOLD"))</f>
        <v>Available</v>
      </c>
      <c r="E298" s="19" t="str">
        <f aca="false">IF(COUNTIFS('Auction Log'!$B$5:$B$304,A298,'Auction Log'!$D$5:$D$304,"&lt;&gt;",'Auction Log'!$E$5:$E$304,"&gt;0")=0,"",IFERROR(INDEX('Auction Log'!$E$5:$E$304,MATCH(1,('Auction Log'!$B$5:$B$304=A298)*('Auction Log'!$D$5:$D$304&lt;&gt;"")*('Auction Log'!$E$5:$E$304&gt;0),0)),""))</f>
        <v/>
      </c>
      <c r="F298" s="18" t="s">
        <v>122</v>
      </c>
      <c r="G298" s="18" t="s">
        <v>26</v>
      </c>
      <c r="H298" s="18" t="n">
        <v>7</v>
      </c>
      <c r="I298" s="18" t="n">
        <v>304</v>
      </c>
      <c r="J298" s="18" t="n">
        <v>12</v>
      </c>
      <c r="K298" s="36"/>
      <c r="L298" s="36" t="n">
        <v>28</v>
      </c>
      <c r="M298" s="19" t="n">
        <v>0</v>
      </c>
      <c r="N298" s="19" t="n">
        <v>0</v>
      </c>
      <c r="O298" s="19" t="n">
        <v>0</v>
      </c>
      <c r="P298" s="19" t="n">
        <v>0</v>
      </c>
      <c r="Q298" s="19" t="n">
        <v>0</v>
      </c>
      <c r="R298" s="19" t="n">
        <v>1</v>
      </c>
      <c r="S298" s="19" t="n">
        <v>1</v>
      </c>
      <c r="T298" s="18" t="s">
        <v>125</v>
      </c>
      <c r="U298" s="32"/>
      <c r="V298" s="19" t="str">
        <f aca="false">IF(E298="","",R298-E298)</f>
        <v/>
      </c>
      <c r="W298" s="18" t="s">
        <v>128</v>
      </c>
      <c r="X298" s="4" t="n">
        <f aca="false">IF(AND(D298="Available",R298&gt;=55),ROW(),9999)</f>
        <v>9999</v>
      </c>
      <c r="Y298" s="4" t="n">
        <f aca="false">IF(AND(D298="Available",R298&gt;=40,R298&lt;55),ROW(),9999)</f>
        <v>9999</v>
      </c>
      <c r="Z298" s="4" t="n">
        <f aca="false">IF(AND(D298="Available",R298&gt;=25,R298&lt;40),ROW(),9999)</f>
        <v>9999</v>
      </c>
      <c r="AA298" s="35" t="str">
        <f aca="false">IF(K298="","",IF(L298="",K298,ROUND(AVERAGE(K298,L298),0)))</f>
        <v/>
      </c>
    </row>
    <row r="299" customFormat="false" ht="15" hidden="false" customHeight="false" outlineLevel="0" collapsed="false">
      <c r="A299" s="18" t="s">
        <v>453</v>
      </c>
      <c r="B299" s="19" t="n">
        <f aca="false">R299-N299</f>
        <v>1</v>
      </c>
      <c r="C299" s="18" t="str">
        <f aca="false">IF(B299&gt;=5,"SMASH BUY",IF(B299&gt;=2,"BUY",IF(B299&gt;=-1,"NEUTRAL",IF(B299&gt;=-4,"AVOID","DO NOT BID"))))</f>
        <v>NEUTRAL</v>
      </c>
      <c r="D299" s="18" t="str">
        <f aca="false">IF(COUNTIFS('Auction Log'!$B$5:$B$304,A299,'Auction Log'!$D$5:$D$304,"&lt;&gt;",'Auction Log'!$E$5:$E$304,"&gt;0")=0,"Available",IFERROR(INDEX('Auction Log'!$D$5:$D$304,MATCH(1,('Auction Log'!$B$5:$B$304=A299)*('Auction Log'!$D$5:$D$304&lt;&gt;"")*('Auction Log'!$E$5:$E$304&gt;0),0)),"SOLD"))</f>
        <v>Available</v>
      </c>
      <c r="E299" s="19" t="str">
        <f aca="false">IF(COUNTIFS('Auction Log'!$B$5:$B$304,A299,'Auction Log'!$D$5:$D$304,"&lt;&gt;",'Auction Log'!$E$5:$E$304,"&gt;0")=0,"",IFERROR(INDEX('Auction Log'!$E$5:$E$304,MATCH(1,('Auction Log'!$B$5:$B$304=A299)*('Auction Log'!$D$5:$D$304&lt;&gt;"")*('Auction Log'!$E$5:$E$304&gt;0),0)),""))</f>
        <v/>
      </c>
      <c r="F299" s="18" t="s">
        <v>111</v>
      </c>
      <c r="G299" s="18" t="s">
        <v>26</v>
      </c>
      <c r="H299" s="18" t="n">
        <v>8</v>
      </c>
      <c r="I299" s="18" t="n">
        <v>305</v>
      </c>
      <c r="J299" s="18" t="n">
        <v>13</v>
      </c>
      <c r="K299" s="36"/>
      <c r="L299" s="36"/>
      <c r="M299" s="19" t="n">
        <v>0</v>
      </c>
      <c r="N299" s="19" t="n">
        <v>0</v>
      </c>
      <c r="O299" s="19" t="n">
        <v>0</v>
      </c>
      <c r="P299" s="19" t="n">
        <v>0</v>
      </c>
      <c r="Q299" s="19" t="n">
        <v>0</v>
      </c>
      <c r="R299" s="19" t="n">
        <v>1</v>
      </c>
      <c r="S299" s="19" t="n">
        <v>1</v>
      </c>
      <c r="T299" s="18" t="s">
        <v>125</v>
      </c>
      <c r="U299" s="32"/>
      <c r="V299" s="19" t="str">
        <f aca="false">IF(E299="","",R299-E299)</f>
        <v/>
      </c>
      <c r="W299" s="18" t="s">
        <v>128</v>
      </c>
      <c r="X299" s="4" t="n">
        <f aca="false">IF(AND(D299="Available",R299&gt;=55),ROW(),9999)</f>
        <v>9999</v>
      </c>
      <c r="Y299" s="4" t="n">
        <f aca="false">IF(AND(D299="Available",R299&gt;=40,R299&lt;55),ROW(),9999)</f>
        <v>9999</v>
      </c>
      <c r="Z299" s="4" t="n">
        <f aca="false">IF(AND(D299="Available",R299&gt;=25,R299&lt;40),ROW(),9999)</f>
        <v>9999</v>
      </c>
      <c r="AA299" s="35" t="str">
        <f aca="false">IF(K299="","",IF(L299="",K299,ROUND(AVERAGE(K299,L299),0)))</f>
        <v/>
      </c>
    </row>
    <row r="300" customFormat="false" ht="15" hidden="false" customHeight="false" outlineLevel="0" collapsed="false">
      <c r="A300" s="18" t="s">
        <v>454</v>
      </c>
      <c r="B300" s="19" t="n">
        <f aca="false">R300-N300</f>
        <v>1</v>
      </c>
      <c r="C300" s="18" t="str">
        <f aca="false">IF(B300&gt;=5,"SMASH BUY",IF(B300&gt;=2,"BUY",IF(B300&gt;=-1,"NEUTRAL",IF(B300&gt;=-4,"AVOID","DO NOT BID"))))</f>
        <v>NEUTRAL</v>
      </c>
      <c r="D300" s="18" t="str">
        <f aca="false">IF(COUNTIFS('Auction Log'!$B$5:$B$304,A300,'Auction Log'!$D$5:$D$304,"&lt;&gt;",'Auction Log'!$E$5:$E$304,"&gt;0")=0,"Available",IFERROR(INDEX('Auction Log'!$D$5:$D$304,MATCH(1,('Auction Log'!$B$5:$B$304=A300)*('Auction Log'!$D$5:$D$304&lt;&gt;"")*('Auction Log'!$E$5:$E$304&gt;0),0)),"SOLD"))</f>
        <v>Available</v>
      </c>
      <c r="E300" s="19" t="str">
        <f aca="false">IF(COUNTIFS('Auction Log'!$B$5:$B$304,A300,'Auction Log'!$D$5:$D$304,"&lt;&gt;",'Auction Log'!$E$5:$E$304,"&gt;0")=0,"",IFERROR(INDEX('Auction Log'!$E$5:$E$304,MATCH(1,('Auction Log'!$B$5:$B$304=A300)*('Auction Log'!$D$5:$D$304&lt;&gt;"")*('Auction Log'!$E$5:$E$304&gt;0),0)),""))</f>
        <v/>
      </c>
      <c r="F300" s="18" t="s">
        <v>111</v>
      </c>
      <c r="G300" s="18" t="s">
        <v>21</v>
      </c>
      <c r="H300" s="18" t="n">
        <v>8</v>
      </c>
      <c r="I300" s="18" t="n">
        <v>306</v>
      </c>
      <c r="J300" s="18" t="n">
        <v>13</v>
      </c>
      <c r="K300" s="36"/>
      <c r="L300" s="36" t="n">
        <v>1</v>
      </c>
      <c r="M300" s="19" t="n">
        <v>0</v>
      </c>
      <c r="N300" s="19" t="n">
        <v>0</v>
      </c>
      <c r="O300" s="19" t="n">
        <v>0</v>
      </c>
      <c r="P300" s="19" t="n">
        <v>0</v>
      </c>
      <c r="Q300" s="19" t="n">
        <v>0</v>
      </c>
      <c r="R300" s="19" t="n">
        <v>1</v>
      </c>
      <c r="S300" s="19" t="n">
        <v>1</v>
      </c>
      <c r="T300" s="18" t="s">
        <v>125</v>
      </c>
      <c r="U300" s="32"/>
      <c r="V300" s="19" t="str">
        <f aca="false">IF(E300="","",R300-E300)</f>
        <v/>
      </c>
      <c r="W300" s="18" t="s">
        <v>128</v>
      </c>
      <c r="X300" s="4" t="n">
        <f aca="false">IF(AND(D300="Available",R300&gt;=55),ROW(),9999)</f>
        <v>9999</v>
      </c>
      <c r="Y300" s="4" t="n">
        <f aca="false">IF(AND(D300="Available",R300&gt;=40,R300&lt;55),ROW(),9999)</f>
        <v>9999</v>
      </c>
      <c r="Z300" s="4" t="n">
        <f aca="false">IF(AND(D300="Available",R300&gt;=25,R300&lt;40),ROW(),9999)</f>
        <v>9999</v>
      </c>
      <c r="AA300" s="35" t="str">
        <f aca="false">IF(K300="","",IF(L300="",K300,ROUND(AVERAGE(K300,L300),0)))</f>
        <v/>
      </c>
    </row>
    <row r="301" customFormat="false" ht="15" hidden="false" customHeight="false" outlineLevel="0" collapsed="false">
      <c r="A301" s="18" t="s">
        <v>455</v>
      </c>
      <c r="B301" s="19" t="n">
        <f aca="false">R301-N301</f>
        <v>1</v>
      </c>
      <c r="C301" s="18" t="str">
        <f aca="false">IF(B301&gt;=5,"SMASH BUY",IF(B301&gt;=2,"BUY",IF(B301&gt;=-1,"NEUTRAL",IF(B301&gt;=-4,"AVOID","DO NOT BID"))))</f>
        <v>NEUTRAL</v>
      </c>
      <c r="D301" s="18" t="str">
        <f aca="false">IF(COUNTIFS('Auction Log'!$B$5:$B$304,A301,'Auction Log'!$D$5:$D$304,"&lt;&gt;",'Auction Log'!$E$5:$E$304,"&gt;0")=0,"Available",IFERROR(INDEX('Auction Log'!$D$5:$D$304,MATCH(1,('Auction Log'!$B$5:$B$304=A301)*('Auction Log'!$D$5:$D$304&lt;&gt;"")*('Auction Log'!$E$5:$E$304&gt;0),0)),"SOLD"))</f>
        <v>Available</v>
      </c>
      <c r="E301" s="19" t="str">
        <f aca="false">IF(COUNTIFS('Auction Log'!$B$5:$B$304,A301,'Auction Log'!$D$5:$D$304,"&lt;&gt;",'Auction Log'!$E$5:$E$304,"&gt;0")=0,"",IFERROR(INDEX('Auction Log'!$E$5:$E$304,MATCH(1,('Auction Log'!$B$5:$B$304=A301)*('Auction Log'!$D$5:$D$304&lt;&gt;"")*('Auction Log'!$E$5:$E$304&gt;0),0)),""))</f>
        <v/>
      </c>
      <c r="F301" s="18" t="s">
        <v>156</v>
      </c>
      <c r="G301" s="18" t="s">
        <v>21</v>
      </c>
      <c r="H301" s="18" t="n">
        <v>5</v>
      </c>
      <c r="I301" s="18" t="n">
        <v>307</v>
      </c>
      <c r="J301" s="18" t="n">
        <v>13</v>
      </c>
      <c r="K301" s="36"/>
      <c r="L301" s="36" t="n">
        <v>17</v>
      </c>
      <c r="M301" s="19" t="n">
        <v>0</v>
      </c>
      <c r="N301" s="19" t="n">
        <v>0</v>
      </c>
      <c r="O301" s="19" t="n">
        <v>0</v>
      </c>
      <c r="P301" s="19" t="n">
        <v>0</v>
      </c>
      <c r="Q301" s="19" t="n">
        <v>0</v>
      </c>
      <c r="R301" s="19" t="n">
        <v>1</v>
      </c>
      <c r="S301" s="19" t="n">
        <v>1</v>
      </c>
      <c r="T301" s="18" t="s">
        <v>125</v>
      </c>
      <c r="U301" s="32"/>
      <c r="V301" s="19" t="str">
        <f aca="false">IF(E301="","",R301-E301)</f>
        <v/>
      </c>
      <c r="W301" s="18" t="s">
        <v>128</v>
      </c>
      <c r="X301" s="4" t="n">
        <f aca="false">IF(AND(D301="Available",R301&gt;=55),ROW(),9999)</f>
        <v>9999</v>
      </c>
      <c r="Y301" s="4" t="n">
        <f aca="false">IF(AND(D301="Available",R301&gt;=40,R301&lt;55),ROW(),9999)</f>
        <v>9999</v>
      </c>
      <c r="Z301" s="4" t="n">
        <f aca="false">IF(AND(D301="Available",R301&gt;=25,R301&lt;40),ROW(),9999)</f>
        <v>9999</v>
      </c>
      <c r="AA301" s="35" t="str">
        <f aca="false">IF(K301="","",IF(L301="",K301,ROUND(AVERAGE(K301,L301),0)))</f>
        <v/>
      </c>
    </row>
    <row r="302" customFormat="false" ht="15" hidden="false" customHeight="false" outlineLevel="0" collapsed="false">
      <c r="A302" s="18" t="s">
        <v>456</v>
      </c>
      <c r="B302" s="19" t="n">
        <f aca="false">R302-N302</f>
        <v>1</v>
      </c>
      <c r="C302" s="18" t="str">
        <f aca="false">IF(B302&gt;=5,"SMASH BUY",IF(B302&gt;=2,"BUY",IF(B302&gt;=-1,"NEUTRAL",IF(B302&gt;=-4,"AVOID","DO NOT BID"))))</f>
        <v>NEUTRAL</v>
      </c>
      <c r="D302" s="18" t="str">
        <f aca="false">IF(COUNTIFS('Auction Log'!$B$5:$B$304,A302,'Auction Log'!$D$5:$D$304,"&lt;&gt;",'Auction Log'!$E$5:$E$304,"&gt;0")=0,"Available",IFERROR(INDEX('Auction Log'!$D$5:$D$304,MATCH(1,('Auction Log'!$B$5:$B$304=A302)*('Auction Log'!$D$5:$D$304&lt;&gt;"")*('Auction Log'!$E$5:$E$304&gt;0),0)),"SOLD"))</f>
        <v>Available</v>
      </c>
      <c r="E302" s="19" t="str">
        <f aca="false">IF(COUNTIFS('Auction Log'!$B$5:$B$304,A302,'Auction Log'!$D$5:$D$304,"&lt;&gt;",'Auction Log'!$E$5:$E$304,"&gt;0")=0,"",IFERROR(INDEX('Auction Log'!$E$5:$E$304,MATCH(1,('Auction Log'!$B$5:$B$304=A302)*('Auction Log'!$D$5:$D$304&lt;&gt;"")*('Auction Log'!$E$5:$E$304&gt;0),0)),""))</f>
        <v/>
      </c>
      <c r="F302" s="18" t="s">
        <v>177</v>
      </c>
      <c r="G302" s="18" t="s">
        <v>21</v>
      </c>
      <c r="H302" s="18" t="n">
        <v>7</v>
      </c>
      <c r="I302" s="18" t="n">
        <v>311</v>
      </c>
      <c r="J302" s="18" t="n">
        <v>13</v>
      </c>
      <c r="K302" s="36"/>
      <c r="L302" s="36"/>
      <c r="M302" s="19" t="n">
        <v>0</v>
      </c>
      <c r="N302" s="19" t="n">
        <v>0</v>
      </c>
      <c r="O302" s="19" t="n">
        <v>0</v>
      </c>
      <c r="P302" s="19" t="n">
        <v>0</v>
      </c>
      <c r="Q302" s="19" t="n">
        <v>0</v>
      </c>
      <c r="R302" s="19" t="n">
        <v>1</v>
      </c>
      <c r="S302" s="19" t="n">
        <v>1</v>
      </c>
      <c r="T302" s="18" t="s">
        <v>125</v>
      </c>
      <c r="U302" s="32"/>
      <c r="V302" s="19" t="str">
        <f aca="false">IF(E302="","",R302-E302)</f>
        <v/>
      </c>
      <c r="W302" s="18" t="s">
        <v>128</v>
      </c>
      <c r="X302" s="4" t="n">
        <f aca="false">IF(AND(D302="Available",R302&gt;=55),ROW(),9999)</f>
        <v>9999</v>
      </c>
      <c r="Y302" s="4" t="n">
        <f aca="false">IF(AND(D302="Available",R302&gt;=40,R302&lt;55),ROW(),9999)</f>
        <v>9999</v>
      </c>
      <c r="Z302" s="4" t="n">
        <f aca="false">IF(AND(D302="Available",R302&gt;=25,R302&lt;40),ROW(),9999)</f>
        <v>9999</v>
      </c>
      <c r="AA302" s="35" t="str">
        <f aca="false">IF(K302="","",IF(L302="",K302,ROUND(AVERAGE(K302,L302),0)))</f>
        <v/>
      </c>
    </row>
    <row r="303" customFormat="false" ht="15" hidden="false" customHeight="false" outlineLevel="0" collapsed="false">
      <c r="A303" s="18" t="s">
        <v>457</v>
      </c>
      <c r="B303" s="19" t="n">
        <f aca="false">R303-N303</f>
        <v>0</v>
      </c>
      <c r="C303" s="18" t="str">
        <f aca="false">IF(B303&gt;=5,"SMASH BUY",IF(B303&gt;=2,"BUY",IF(B303&gt;=-1,"NEUTRAL",IF(B303&gt;=-4,"AVOID","DO NOT BID"))))</f>
        <v>NEUTRAL</v>
      </c>
      <c r="D303" s="18" t="str">
        <f aca="false">IF(COUNTIFS('Auction Log'!$B$5:$B$304,A303,'Auction Log'!$D$5:$D$304,"&lt;&gt;",'Auction Log'!$E$5:$E$304,"&gt;0")=0,"Available",IFERROR(INDEX('Auction Log'!$D$5:$D$304,MATCH(1,('Auction Log'!$B$5:$B$304=A303)*('Auction Log'!$D$5:$D$304&lt;&gt;"")*('Auction Log'!$E$5:$E$304&gt;0),0)),"SOLD"))</f>
        <v>Available</v>
      </c>
      <c r="E303" s="19" t="str">
        <f aca="false">IF(COUNTIFS('Auction Log'!$B$5:$B$304,A303,'Auction Log'!$D$5:$D$304,"&lt;&gt;",'Auction Log'!$E$5:$E$304,"&gt;0")=0,"",IFERROR(INDEX('Auction Log'!$E$5:$E$304,MATCH(1,('Auction Log'!$B$5:$B$304=A303)*('Auction Log'!$D$5:$D$304&lt;&gt;"")*('Auction Log'!$E$5:$E$304&gt;0),0)),""))</f>
        <v/>
      </c>
      <c r="F303" s="18" t="s">
        <v>180</v>
      </c>
      <c r="G303" s="18" t="s">
        <v>34</v>
      </c>
      <c r="H303" s="18" t="n">
        <v>10</v>
      </c>
      <c r="I303" s="18" t="n">
        <v>313</v>
      </c>
      <c r="J303" s="18" t="n">
        <v>13</v>
      </c>
      <c r="K303" s="36" t="n">
        <v>101</v>
      </c>
      <c r="L303" s="36"/>
      <c r="M303" s="19" t="n">
        <v>0</v>
      </c>
      <c r="N303" s="19" t="n">
        <v>1</v>
      </c>
      <c r="O303" s="19" t="n">
        <v>-3</v>
      </c>
      <c r="P303" s="19" t="n">
        <v>0</v>
      </c>
      <c r="Q303" s="19" t="n">
        <v>0</v>
      </c>
      <c r="R303" s="19" t="n">
        <v>1</v>
      </c>
      <c r="S303" s="19" t="n">
        <v>1</v>
      </c>
      <c r="T303" s="18" t="s">
        <v>125</v>
      </c>
      <c r="U303" s="32"/>
      <c r="V303" s="19" t="str">
        <f aca="false">IF(E303="","",R303-E303)</f>
        <v/>
      </c>
      <c r="W303" s="18" t="s">
        <v>128</v>
      </c>
      <c r="X303" s="4" t="n">
        <f aca="false">IF(AND(D303="Available",R303&gt;=55),ROW(),9999)</f>
        <v>9999</v>
      </c>
      <c r="Y303" s="4" t="n">
        <f aca="false">IF(AND(D303="Available",R303&gt;=40,R303&lt;55),ROW(),9999)</f>
        <v>9999</v>
      </c>
      <c r="Z303" s="4" t="n">
        <f aca="false">IF(AND(D303="Available",R303&gt;=25,R303&lt;40),ROW(),9999)</f>
        <v>9999</v>
      </c>
      <c r="AA303" s="35" t="n">
        <f aca="false">IF(K303="","",IF(L303="",K303,ROUND(AVERAGE(K303,L303),0)))</f>
        <v>101</v>
      </c>
    </row>
    <row r="304" customFormat="false" ht="15" hidden="false" customHeight="false" outlineLevel="0" collapsed="false">
      <c r="A304" s="37" t="s">
        <v>458</v>
      </c>
      <c r="B304" s="38" t="n">
        <f aca="false">R304-N304</f>
        <v>0</v>
      </c>
      <c r="C304" s="37" t="str">
        <f aca="false">IF(B304&gt;=5,"SMASH BUY",IF(B304&gt;=2,"BUY",IF(B304&gt;=-1,"NEUTRAL",IF(B304&gt;=-4,"AVOID","DO NOT BID"))))</f>
        <v>NEUTRAL</v>
      </c>
      <c r="D304" s="37" t="str">
        <f aca="false">IF(COUNTIFS('Auction Log'!$B$5:$B$304,A304,'Auction Log'!$D$5:$D$304,"&lt;&gt;",'Auction Log'!$E$5:$E$304,"&gt;0")=0,"Available",IFERROR(INDEX('Auction Log'!$D$5:$D$304,MATCH(1,('Auction Log'!$B$5:$B$304=A304)*('Auction Log'!$D$5:$D$304&lt;&gt;"")*('Auction Log'!$E$5:$E$304&gt;0),0)),"SOLD"))</f>
        <v>Available</v>
      </c>
      <c r="E304" s="38" t="str">
        <f aca="false">IF(COUNTIFS('Auction Log'!$B$5:$B$304,A304,'Auction Log'!$D$5:$D$304,"&lt;&gt;",'Auction Log'!$E$5:$E$304,"&gt;0")=0,"",IFERROR(INDEX('Auction Log'!$E$5:$E$304,MATCH(1,('Auction Log'!$B$5:$B$304=A304)*('Auction Log'!$D$5:$D$304&lt;&gt;"")*('Auction Log'!$E$5:$E$304&gt;0),0)),""))</f>
        <v/>
      </c>
      <c r="F304" s="37" t="s">
        <v>113</v>
      </c>
      <c r="G304" s="37" t="s">
        <v>37</v>
      </c>
      <c r="H304" s="37" t="n">
        <v>13</v>
      </c>
      <c r="I304" s="37" t="n">
        <v>382</v>
      </c>
      <c r="J304" s="37" t="n">
        <v>14</v>
      </c>
      <c r="K304" s="39" t="n">
        <v>133</v>
      </c>
      <c r="L304" s="39"/>
      <c r="M304" s="38" t="n">
        <v>0</v>
      </c>
      <c r="N304" s="38" t="n">
        <v>1</v>
      </c>
      <c r="O304" s="38" t="n">
        <v>-3</v>
      </c>
      <c r="P304" s="38" t="n">
        <v>0</v>
      </c>
      <c r="Q304" s="38" t="n">
        <v>0</v>
      </c>
      <c r="R304" s="38" t="n">
        <v>1</v>
      </c>
      <c r="S304" s="38" t="n">
        <v>1</v>
      </c>
      <c r="T304" s="37" t="s">
        <v>125</v>
      </c>
      <c r="U304" s="40"/>
      <c r="V304" s="38" t="str">
        <f aca="false">IF(E304="","",R304-E304)</f>
        <v/>
      </c>
      <c r="W304" s="37" t="s">
        <v>128</v>
      </c>
      <c r="X304" s="4" t="n">
        <f aca="false">IF(AND(D304="Available",R304&gt;=55),ROW(),9999)</f>
        <v>9999</v>
      </c>
      <c r="Y304" s="4" t="n">
        <f aca="false">IF(AND(D304="Available",R304&gt;=40,R304&lt;55),ROW(),9999)</f>
        <v>9999</v>
      </c>
      <c r="Z304" s="4" t="n">
        <f aca="false">IF(AND(D304="Available",R304&gt;=25,R304&lt;40),ROW(),9999)</f>
        <v>9999</v>
      </c>
      <c r="AA304" s="35" t="n">
        <f aca="false">IF(K304="","",IF(L304="",K304,ROUND(AVERAGE(K304,L304),0)))</f>
        <v>133</v>
      </c>
    </row>
  </sheetData>
  <mergeCells count="2">
    <mergeCell ref="A1:W1"/>
    <mergeCell ref="A2:W2"/>
  </mergeCells>
  <conditionalFormatting sqref="A5:U304">
    <cfRule type="expression" priority="2" aboveAverage="0" equalAverage="0" bottom="0" percent="0" rank="0" text="" dxfId="55">
      <formula>MOD(ROW(),2)=0</formula>
    </cfRule>
    <cfRule type="expression" priority="3" aboveAverage="0" equalAverage="0" bottom="0" percent="0" rank="0" text="" dxfId="56">
      <formula>$C5="SMASH BUY"</formula>
    </cfRule>
    <cfRule type="expression" priority="4" aboveAverage="0" equalAverage="0" bottom="0" percent="0" rank="0" text="" dxfId="57">
      <formula>$C5="DO NOT BID"</formula>
    </cfRule>
  </conditionalFormatting>
  <conditionalFormatting sqref="T5:T304">
    <cfRule type="cellIs" priority="5" operator="greaterThan" aboveAverage="0" equalAverage="0" bottom="0" percent="0" rank="0" text="" dxfId="58">
      <formula>0</formula>
    </cfRule>
    <cfRule type="cellIs" priority="6" operator="lessThan" aboveAverage="0" equalAverage="0" bottom="0" percent="0" rank="0" text="" dxfId="59">
      <formula>0</formula>
    </cfRule>
    <cfRule type="containsText" priority="7" operator="containsText" aboveAverage="0" equalAverage="0" bottom="0" percent="0" rank="0" text="TARGET" dxfId="60">
      <formula>NOT(ISERROR(SEARCH("TARGET",T5)))</formula>
    </cfRule>
    <cfRule type="containsText" priority="8" operator="containsText" aboveAverage="0" equalAverage="0" bottom="0" percent="0" rank="0" text="DRAIN" dxfId="61">
      <formula>NOT(ISERROR(SEARCH("DRAIN",T5)))</formula>
    </cfRule>
    <cfRule type="containsText" priority="9" operator="containsText" aboveAverage="0" equalAverage="0" bottom="0" percent="0" rank="0" text="ENDGAME" dxfId="62">
      <formula>NOT(ISERROR(SEARCH("ENDGAME",T5)))</formula>
    </cfRule>
  </conditionalFormatting>
  <conditionalFormatting sqref="P5:P304">
    <cfRule type="containsText" priority="10" operator="containsText" aboveAverage="0" equalAverage="0" bottom="0" percent="0" rank="0" text="TARGET" dxfId="63">
      <formula>NOT(ISERROR(SEARCH("TARGET",P5)))</formula>
    </cfRule>
    <cfRule type="containsText" priority="11" operator="containsText" aboveAverage="0" equalAverage="0" bottom="0" percent="0" rank="0" text="DRAIN" dxfId="64">
      <formula>NOT(ISERROR(SEARCH("DRAIN",P5)))</formula>
    </cfRule>
    <cfRule type="containsText" priority="12" operator="containsText" aboveAverage="0" equalAverage="0" bottom="0" percent="0" rank="0" text="ENDGAME" dxfId="65">
      <formula>NOT(ISERROR(SEARCH("ENDGAME",P5)))</formula>
    </cfRule>
  </conditionalFormatting>
  <conditionalFormatting sqref="R5:R304">
    <cfRule type="notContainsText" priority="13" operator="notContains" aboveAverage="0" equalAverage="0" bottom="0" percent="0" rank="0" text="Available" dxfId="66">
      <formula>ISERROR(SEARCH("Available",R5))</formula>
    </cfRule>
  </conditionalFormatting>
  <conditionalFormatting sqref="B5:B304">
    <cfRule type="cellIs" priority="14" operator="greaterThanOrEqual" aboveAverage="0" equalAverage="0" bottom="0" percent="0" rank="0" text="" dxfId="67">
      <formula>5</formula>
    </cfRule>
    <cfRule type="cellIs" priority="15" operator="between" aboveAverage="0" equalAverage="0" bottom="0" percent="0" rank="0" text="" dxfId="68">
      <formula>2</formula>
      <formula>4</formula>
    </cfRule>
    <cfRule type="cellIs" priority="16" operator="between" aboveAverage="0" equalAverage="0" bottom="0" percent="0" rank="0" text="" dxfId="69">
      <formula>-1</formula>
      <formula>1</formula>
    </cfRule>
    <cfRule type="cellIs" priority="17" operator="between" aboveAverage="0" equalAverage="0" bottom="0" percent="0" rank="0" text="" dxfId="70">
      <formula>-4</formula>
      <formula>-2</formula>
    </cfRule>
    <cfRule type="cellIs" priority="18" operator="lessThanOrEqual" aboveAverage="0" equalAverage="0" bottom="0" percent="0" rank="0" text="" dxfId="71">
      <formula>-5</formula>
    </cfRule>
  </conditionalFormatting>
  <conditionalFormatting sqref="C5:C304">
    <cfRule type="containsText" priority="19" operator="containsText" aboveAverage="0" equalAverage="0" bottom="0" percent="0" rank="0" text="SMASH BUY" dxfId="72">
      <formula>NOT(ISERROR(SEARCH("SMASH BUY",C5)))</formula>
    </cfRule>
    <cfRule type="containsText" priority="20" operator="containsText" aboveAverage="0" equalAverage="0" bottom="0" percent="0" rank="0" text="BUY" dxfId="73">
      <formula>NOT(ISERROR(SEARCH("BUY",C5)))</formula>
    </cfRule>
    <cfRule type="containsText" priority="21" operator="containsText" aboveAverage="0" equalAverage="0" bottom="0" percent="0" rank="0" text="NEUTRAL" dxfId="74">
      <formula>NOT(ISERROR(SEARCH("NEUTRAL",C5)))</formula>
    </cfRule>
    <cfRule type="containsText" priority="22" operator="containsText" aboveAverage="0" equalAverage="0" bottom="0" percent="0" rank="0" text="AVOID" dxfId="75">
      <formula>NOT(ISERROR(SEARCH("AVOID",C5)))</formula>
    </cfRule>
    <cfRule type="containsText" priority="23" operator="containsText" aboveAverage="0" equalAverage="0" bottom="0" percent="0" rank="0" text="DO NOT BID" dxfId="76">
      <formula>NOT(ISERROR(SEARCH("DO NOT BID",C5)))</formula>
    </cfRule>
  </conditionalFormatting>
  <conditionalFormatting sqref="D5:D304">
    <cfRule type="notContainsText" priority="24" operator="notContains" aboveAverage="0" equalAverage="0" bottom="0" percent="0" rank="0" text="Available" dxfId="77">
      <formula>ISERROR(SEARCH("Available",D5))</formula>
    </cfRule>
  </conditionalFormatting>
  <conditionalFormatting sqref="V5:V304">
    <cfRule type="cellIs" priority="25" operator="greaterThan" aboveAverage="0" equalAverage="0" bottom="0" percent="0" rank="0" text="" dxfId="78">
      <formula>0</formula>
    </cfRule>
    <cfRule type="cellIs" priority="26" operator="lessThan" aboveAverage="0" equalAverage="0" bottom="0" percent="0" rank="0" text="" dxfId="79">
      <formula>0</formula>
    </cfRule>
  </conditionalFormatting>
  <conditionalFormatting sqref="U5:U304">
    <cfRule type="expression" priority="27" aboveAverage="0" equalAverage="0" bottom="0" percent="0" rank="0" text="" dxfId="80">
      <formula>LEN($U5)&gt;0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30"/>
    <col collapsed="false" customWidth="true" hidden="false" outlineLevel="0" max="10" min="10" style="1" width="28"/>
    <col collapsed="false" customWidth="true" hidden="false" outlineLevel="0" max="11" min="11" style="1" width="11"/>
  </cols>
  <sheetData>
    <row r="1" customFormat="false" ht="30" hidden="false" customHeight="true" outlineLevel="0" collapsed="false">
      <c r="A1" s="2" t="s">
        <v>459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7.75" hidden="false" customHeight="true" outlineLevel="0" collapsed="false">
      <c r="A2" s="3" t="s">
        <v>460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27.75" hidden="false" customHeight="true" outlineLevel="0" collapsed="false">
      <c r="A4" s="10" t="s">
        <v>461</v>
      </c>
      <c r="B4" s="10" t="s">
        <v>7</v>
      </c>
      <c r="C4" s="10" t="s">
        <v>58</v>
      </c>
      <c r="D4" s="10" t="s">
        <v>462</v>
      </c>
      <c r="E4" s="10" t="s">
        <v>463</v>
      </c>
      <c r="F4" s="10" t="s">
        <v>464</v>
      </c>
      <c r="G4" s="10" t="s">
        <v>465</v>
      </c>
      <c r="H4" s="10" t="s">
        <v>93</v>
      </c>
      <c r="I4" s="10" t="s">
        <v>466</v>
      </c>
      <c r="J4" s="10" t="s">
        <v>467</v>
      </c>
      <c r="K4" s="10" t="s">
        <v>468</v>
      </c>
    </row>
    <row r="5" customFormat="false" ht="18" hidden="false" customHeight="true" outlineLevel="0" collapsed="false">
      <c r="A5" s="15" t="str">
        <f aca="false">IF(B5="","",ROW()-4)</f>
        <v/>
      </c>
      <c r="B5" s="41"/>
      <c r="C5" s="15" t="str">
        <f aca="false">IFERROR(INDEX('Player Board'!$G$5:$G$304,MATCH(B5,'Player Board'!$A$5:$A$304,0)),"")</f>
        <v/>
      </c>
      <c r="D5" s="41"/>
      <c r="E5" s="42"/>
      <c r="F5" s="42"/>
      <c r="G5" s="16" t="str">
        <f aca="false">IFERROR(INDEX('Player Board'!$R$5:$R$304,MATCH(B5,'Player Board'!$A$5:$A$304,0)),"")</f>
        <v/>
      </c>
      <c r="H5" s="16" t="str">
        <f aca="false">IF(E5="","",G5-E5)</f>
        <v/>
      </c>
      <c r="I5" s="41"/>
      <c r="J5" s="15" t="str">
        <f aca="false">IF(B5="","",IF(A5=MAX($A$5:$A$304),"LAST — CLEAR INPUTS TO UNDO",IF(AND(D5&lt;&gt;"",E5&lt;&gt;""),"LOGGED","INCOMPLETE")))</f>
        <v/>
      </c>
      <c r="K5" s="15" t="str">
        <f aca="false">IFERROR(INDEX('Player Board'!$AA$5:$AA$304,MATCH(B5,'Player Board'!$A$5:$A$304,0)),"")</f>
        <v/>
      </c>
    </row>
    <row r="6" customFormat="false" ht="18" hidden="false" customHeight="true" outlineLevel="0" collapsed="false">
      <c r="A6" s="18" t="str">
        <f aca="false">IF(B6="","",ROW()-4)</f>
        <v/>
      </c>
      <c r="B6" s="43"/>
      <c r="C6" s="18" t="str">
        <f aca="false">IFERROR(INDEX('Player Board'!$G$5:$G$304,MATCH(B6,'Player Board'!$A$5:$A$304,0)),"")</f>
        <v/>
      </c>
      <c r="D6" s="43"/>
      <c r="E6" s="44"/>
      <c r="F6" s="44"/>
      <c r="G6" s="19" t="str">
        <f aca="false">IFERROR(INDEX('Player Board'!$R$5:$R$304,MATCH(B6,'Player Board'!$A$5:$A$304,0)),"")</f>
        <v/>
      </c>
      <c r="H6" s="19" t="str">
        <f aca="false">IF(E6="","",G6-E6)</f>
        <v/>
      </c>
      <c r="I6" s="43"/>
      <c r="J6" s="18" t="str">
        <f aca="false">IF(B6="","",IF(A6=MAX($A$5:$A$304),"LAST — CLEAR INPUTS TO UNDO",IF(AND(D6&lt;&gt;"",E6&lt;&gt;""),"LOGGED","INCOMPLETE")))</f>
        <v/>
      </c>
      <c r="K6" s="18" t="str">
        <f aca="false">IFERROR(INDEX('Player Board'!$AA$5:$AA$304,MATCH(B6,'Player Board'!$A$5:$A$304,0)),"")</f>
        <v/>
      </c>
    </row>
    <row r="7" customFormat="false" ht="18" hidden="false" customHeight="true" outlineLevel="0" collapsed="false">
      <c r="A7" s="18" t="str">
        <f aca="false">IF(B7="","",ROW()-4)</f>
        <v/>
      </c>
      <c r="B7" s="43"/>
      <c r="C7" s="18" t="str">
        <f aca="false">IFERROR(INDEX('Player Board'!$G$5:$G$304,MATCH(B7,'Player Board'!$A$5:$A$304,0)),"")</f>
        <v/>
      </c>
      <c r="D7" s="43"/>
      <c r="E7" s="44"/>
      <c r="F7" s="44"/>
      <c r="G7" s="19" t="str">
        <f aca="false">IFERROR(INDEX('Player Board'!$R$5:$R$304,MATCH(B7,'Player Board'!$A$5:$A$304,0)),"")</f>
        <v/>
      </c>
      <c r="H7" s="19" t="str">
        <f aca="false">IF(E7="","",G7-E7)</f>
        <v/>
      </c>
      <c r="I7" s="43"/>
      <c r="J7" s="18" t="str">
        <f aca="false">IF(B7="","",IF(A7=MAX($A$5:$A$304),"LAST — CLEAR INPUTS TO UNDO",IF(AND(D7&lt;&gt;"",E7&lt;&gt;""),"LOGGED","INCOMPLETE")))</f>
        <v/>
      </c>
      <c r="K7" s="18" t="str">
        <f aca="false">IFERROR(INDEX('Player Board'!$AA$5:$AA$304,MATCH(B7,'Player Board'!$A$5:$A$304,0)),"")</f>
        <v/>
      </c>
    </row>
    <row r="8" customFormat="false" ht="18" hidden="false" customHeight="true" outlineLevel="0" collapsed="false">
      <c r="A8" s="18" t="str">
        <f aca="false">IF(B8="","",ROW()-4)</f>
        <v/>
      </c>
      <c r="B8" s="43"/>
      <c r="C8" s="18" t="str">
        <f aca="false">IFERROR(INDEX('Player Board'!$G$5:$G$304,MATCH(B8,'Player Board'!$A$5:$A$304,0)),"")</f>
        <v/>
      </c>
      <c r="D8" s="43"/>
      <c r="E8" s="44"/>
      <c r="F8" s="44"/>
      <c r="G8" s="19" t="str">
        <f aca="false">IFERROR(INDEX('Player Board'!$R$5:$R$304,MATCH(B8,'Player Board'!$A$5:$A$304,0)),"")</f>
        <v/>
      </c>
      <c r="H8" s="19" t="str">
        <f aca="false">IF(E8="","",G8-E8)</f>
        <v/>
      </c>
      <c r="I8" s="43"/>
      <c r="J8" s="18" t="str">
        <f aca="false">IF(B8="","",IF(A8=MAX($A$5:$A$304),"LAST — CLEAR INPUTS TO UNDO",IF(AND(D8&lt;&gt;"",E8&lt;&gt;""),"LOGGED","INCOMPLETE")))</f>
        <v/>
      </c>
      <c r="K8" s="18" t="str">
        <f aca="false">IFERROR(INDEX('Player Board'!$AA$5:$AA$304,MATCH(B8,'Player Board'!$A$5:$A$304,0)),"")</f>
        <v/>
      </c>
    </row>
    <row r="9" customFormat="false" ht="18" hidden="false" customHeight="true" outlineLevel="0" collapsed="false">
      <c r="A9" s="18" t="str">
        <f aca="false">IF(B9="","",ROW()-4)</f>
        <v/>
      </c>
      <c r="B9" s="43"/>
      <c r="C9" s="18" t="str">
        <f aca="false">IFERROR(INDEX('Player Board'!$G$5:$G$304,MATCH(B9,'Player Board'!$A$5:$A$304,0)),"")</f>
        <v/>
      </c>
      <c r="D9" s="43"/>
      <c r="E9" s="44"/>
      <c r="F9" s="44"/>
      <c r="G9" s="19" t="str">
        <f aca="false">IFERROR(INDEX('Player Board'!$R$5:$R$304,MATCH(B9,'Player Board'!$A$5:$A$304,0)),"")</f>
        <v/>
      </c>
      <c r="H9" s="19" t="str">
        <f aca="false">IF(E9="","",G9-E9)</f>
        <v/>
      </c>
      <c r="I9" s="43"/>
      <c r="J9" s="18" t="str">
        <f aca="false">IF(B9="","",IF(A9=MAX($A$5:$A$304),"LAST — CLEAR INPUTS TO UNDO",IF(AND(D9&lt;&gt;"",E9&lt;&gt;""),"LOGGED","INCOMPLETE")))</f>
        <v/>
      </c>
      <c r="K9" s="18" t="str">
        <f aca="false">IFERROR(INDEX('Player Board'!$AA$5:$AA$304,MATCH(B9,'Player Board'!$A$5:$A$304,0)),"")</f>
        <v/>
      </c>
    </row>
    <row r="10" customFormat="false" ht="18" hidden="false" customHeight="true" outlineLevel="0" collapsed="false">
      <c r="A10" s="18" t="str">
        <f aca="false">IF(B10="","",ROW()-4)</f>
        <v/>
      </c>
      <c r="B10" s="43"/>
      <c r="C10" s="18" t="str">
        <f aca="false">IFERROR(INDEX('Player Board'!$G$5:$G$304,MATCH(B10,'Player Board'!$A$5:$A$304,0)),"")</f>
        <v/>
      </c>
      <c r="D10" s="43"/>
      <c r="E10" s="44"/>
      <c r="F10" s="44"/>
      <c r="G10" s="19" t="str">
        <f aca="false">IFERROR(INDEX('Player Board'!$R$5:$R$304,MATCH(B10,'Player Board'!$A$5:$A$304,0)),"")</f>
        <v/>
      </c>
      <c r="H10" s="19" t="str">
        <f aca="false">IF(E10="","",G10-E10)</f>
        <v/>
      </c>
      <c r="I10" s="43"/>
      <c r="J10" s="18" t="str">
        <f aca="false">IF(B10="","",IF(A10=MAX($A$5:$A$304),"LAST — CLEAR INPUTS TO UNDO",IF(AND(D10&lt;&gt;"",E10&lt;&gt;""),"LOGGED","INCOMPLETE")))</f>
        <v/>
      </c>
      <c r="K10" s="18" t="str">
        <f aca="false">IFERROR(INDEX('Player Board'!$AA$5:$AA$304,MATCH(B10,'Player Board'!$A$5:$A$304,0)),"")</f>
        <v/>
      </c>
    </row>
    <row r="11" customFormat="false" ht="18" hidden="false" customHeight="true" outlineLevel="0" collapsed="false">
      <c r="A11" s="18" t="str">
        <f aca="false">IF(B11="","",ROW()-4)</f>
        <v/>
      </c>
      <c r="B11" s="43"/>
      <c r="C11" s="18" t="str">
        <f aca="false">IFERROR(INDEX('Player Board'!$G$5:$G$304,MATCH(B11,'Player Board'!$A$5:$A$304,0)),"")</f>
        <v/>
      </c>
      <c r="D11" s="43"/>
      <c r="E11" s="44"/>
      <c r="F11" s="44"/>
      <c r="G11" s="19" t="str">
        <f aca="false">IFERROR(INDEX('Player Board'!$R$5:$R$304,MATCH(B11,'Player Board'!$A$5:$A$304,0)),"")</f>
        <v/>
      </c>
      <c r="H11" s="19" t="str">
        <f aca="false">IF(E11="","",G11-E11)</f>
        <v/>
      </c>
      <c r="I11" s="43"/>
      <c r="J11" s="18" t="str">
        <f aca="false">IF(B11="","",IF(A11=MAX($A$5:$A$304),"LAST — CLEAR INPUTS TO UNDO",IF(AND(D11&lt;&gt;"",E11&lt;&gt;""),"LOGGED","INCOMPLETE")))</f>
        <v/>
      </c>
      <c r="K11" s="18" t="str">
        <f aca="false">IFERROR(INDEX('Player Board'!$AA$5:$AA$304,MATCH(B11,'Player Board'!$A$5:$A$304,0)),"")</f>
        <v/>
      </c>
    </row>
    <row r="12" customFormat="false" ht="18" hidden="false" customHeight="true" outlineLevel="0" collapsed="false">
      <c r="A12" s="18" t="str">
        <f aca="false">IF(B12="","",ROW()-4)</f>
        <v/>
      </c>
      <c r="B12" s="43"/>
      <c r="C12" s="18" t="str">
        <f aca="false">IFERROR(INDEX('Player Board'!$G$5:$G$304,MATCH(B12,'Player Board'!$A$5:$A$304,0)),"")</f>
        <v/>
      </c>
      <c r="D12" s="43"/>
      <c r="E12" s="44"/>
      <c r="F12" s="44"/>
      <c r="G12" s="19" t="str">
        <f aca="false">IFERROR(INDEX('Player Board'!$R$5:$R$304,MATCH(B12,'Player Board'!$A$5:$A$304,0)),"")</f>
        <v/>
      </c>
      <c r="H12" s="19" t="str">
        <f aca="false">IF(E12="","",G12-E12)</f>
        <v/>
      </c>
      <c r="I12" s="43"/>
      <c r="J12" s="18" t="str">
        <f aca="false">IF(B12="","",IF(A12=MAX($A$5:$A$304),"LAST — CLEAR INPUTS TO UNDO",IF(AND(D12&lt;&gt;"",E12&lt;&gt;""),"LOGGED","INCOMPLETE")))</f>
        <v/>
      </c>
      <c r="K12" s="18" t="str">
        <f aca="false">IFERROR(INDEX('Player Board'!$AA$5:$AA$304,MATCH(B12,'Player Board'!$A$5:$A$304,0)),"")</f>
        <v/>
      </c>
    </row>
    <row r="13" customFormat="false" ht="18" hidden="false" customHeight="true" outlineLevel="0" collapsed="false">
      <c r="A13" s="18" t="str">
        <f aca="false">IF(B13="","",ROW()-4)</f>
        <v/>
      </c>
      <c r="B13" s="43"/>
      <c r="C13" s="18" t="str">
        <f aca="false">IFERROR(INDEX('Player Board'!$G$5:$G$304,MATCH(B13,'Player Board'!$A$5:$A$304,0)),"")</f>
        <v/>
      </c>
      <c r="D13" s="43"/>
      <c r="E13" s="44"/>
      <c r="F13" s="44"/>
      <c r="G13" s="19" t="str">
        <f aca="false">IFERROR(INDEX('Player Board'!$R$5:$R$304,MATCH(B13,'Player Board'!$A$5:$A$304,0)),"")</f>
        <v/>
      </c>
      <c r="H13" s="19" t="str">
        <f aca="false">IF(E13="","",G13-E13)</f>
        <v/>
      </c>
      <c r="I13" s="43"/>
      <c r="J13" s="18" t="str">
        <f aca="false">IF(B13="","",IF(A13=MAX($A$5:$A$304),"LAST — CLEAR INPUTS TO UNDO",IF(AND(D13&lt;&gt;"",E13&lt;&gt;""),"LOGGED","INCOMPLETE")))</f>
        <v/>
      </c>
      <c r="K13" s="18" t="str">
        <f aca="false">IFERROR(INDEX('Player Board'!$AA$5:$AA$304,MATCH(B13,'Player Board'!$A$5:$A$304,0)),"")</f>
        <v/>
      </c>
    </row>
    <row r="14" customFormat="false" ht="18" hidden="false" customHeight="true" outlineLevel="0" collapsed="false">
      <c r="A14" s="18" t="str">
        <f aca="false">IF(B14="","",ROW()-4)</f>
        <v/>
      </c>
      <c r="B14" s="43"/>
      <c r="C14" s="18" t="str">
        <f aca="false">IFERROR(INDEX('Player Board'!$G$5:$G$304,MATCH(B14,'Player Board'!$A$5:$A$304,0)),"")</f>
        <v/>
      </c>
      <c r="D14" s="43"/>
      <c r="E14" s="44"/>
      <c r="F14" s="44"/>
      <c r="G14" s="19" t="str">
        <f aca="false">IFERROR(INDEX('Player Board'!$R$5:$R$304,MATCH(B14,'Player Board'!$A$5:$A$304,0)),"")</f>
        <v/>
      </c>
      <c r="H14" s="19" t="str">
        <f aca="false">IF(E14="","",G14-E14)</f>
        <v/>
      </c>
      <c r="I14" s="43"/>
      <c r="J14" s="18" t="str">
        <f aca="false">IF(B14="","",IF(A14=MAX($A$5:$A$304),"LAST — CLEAR INPUTS TO UNDO",IF(AND(D14&lt;&gt;"",E14&lt;&gt;""),"LOGGED","INCOMPLETE")))</f>
        <v/>
      </c>
      <c r="K14" s="18" t="str">
        <f aca="false">IFERROR(INDEX('Player Board'!$AA$5:$AA$304,MATCH(B14,'Player Board'!$A$5:$A$304,0)),"")</f>
        <v/>
      </c>
    </row>
    <row r="15" customFormat="false" ht="18" hidden="false" customHeight="true" outlineLevel="0" collapsed="false">
      <c r="A15" s="18" t="str">
        <f aca="false">IF(B15="","",ROW()-4)</f>
        <v/>
      </c>
      <c r="B15" s="43"/>
      <c r="C15" s="18" t="str">
        <f aca="false">IFERROR(INDEX('Player Board'!$G$5:$G$304,MATCH(B15,'Player Board'!$A$5:$A$304,0)),"")</f>
        <v/>
      </c>
      <c r="D15" s="43"/>
      <c r="E15" s="44"/>
      <c r="F15" s="44"/>
      <c r="G15" s="19" t="str">
        <f aca="false">IFERROR(INDEX('Player Board'!$R$5:$R$304,MATCH(B15,'Player Board'!$A$5:$A$304,0)),"")</f>
        <v/>
      </c>
      <c r="H15" s="19" t="str">
        <f aca="false">IF(E15="","",G15-E15)</f>
        <v/>
      </c>
      <c r="I15" s="43"/>
      <c r="J15" s="18" t="str">
        <f aca="false">IF(B15="","",IF(A15=MAX($A$5:$A$304),"LAST — CLEAR INPUTS TO UNDO",IF(AND(D15&lt;&gt;"",E15&lt;&gt;""),"LOGGED","INCOMPLETE")))</f>
        <v/>
      </c>
      <c r="K15" s="18" t="str">
        <f aca="false">IFERROR(INDEX('Player Board'!$AA$5:$AA$304,MATCH(B15,'Player Board'!$A$5:$A$304,0)),"")</f>
        <v/>
      </c>
    </row>
    <row r="16" customFormat="false" ht="18" hidden="false" customHeight="true" outlineLevel="0" collapsed="false">
      <c r="A16" s="18" t="str">
        <f aca="false">IF(B16="","",ROW()-4)</f>
        <v/>
      </c>
      <c r="B16" s="43"/>
      <c r="C16" s="18" t="str">
        <f aca="false">IFERROR(INDEX('Player Board'!$G$5:$G$304,MATCH(B16,'Player Board'!$A$5:$A$304,0)),"")</f>
        <v/>
      </c>
      <c r="D16" s="43"/>
      <c r="E16" s="44"/>
      <c r="F16" s="44"/>
      <c r="G16" s="19" t="str">
        <f aca="false">IFERROR(INDEX('Player Board'!$R$5:$R$304,MATCH(B16,'Player Board'!$A$5:$A$304,0)),"")</f>
        <v/>
      </c>
      <c r="H16" s="19" t="str">
        <f aca="false">IF(E16="","",G16-E16)</f>
        <v/>
      </c>
      <c r="I16" s="43"/>
      <c r="J16" s="18" t="str">
        <f aca="false">IF(B16="","",IF(A16=MAX($A$5:$A$304),"LAST — CLEAR INPUTS TO UNDO",IF(AND(D16&lt;&gt;"",E16&lt;&gt;""),"LOGGED","INCOMPLETE")))</f>
        <v/>
      </c>
      <c r="K16" s="18" t="str">
        <f aca="false">IFERROR(INDEX('Player Board'!$AA$5:$AA$304,MATCH(B16,'Player Board'!$A$5:$A$304,0)),"")</f>
        <v/>
      </c>
    </row>
    <row r="17" customFormat="false" ht="18" hidden="false" customHeight="true" outlineLevel="0" collapsed="false">
      <c r="A17" s="18" t="str">
        <f aca="false">IF(B17="","",ROW()-4)</f>
        <v/>
      </c>
      <c r="B17" s="43"/>
      <c r="C17" s="18" t="str">
        <f aca="false">IFERROR(INDEX('Player Board'!$G$5:$G$304,MATCH(B17,'Player Board'!$A$5:$A$304,0)),"")</f>
        <v/>
      </c>
      <c r="D17" s="43"/>
      <c r="E17" s="44"/>
      <c r="F17" s="44"/>
      <c r="G17" s="19" t="str">
        <f aca="false">IFERROR(INDEX('Player Board'!$R$5:$R$304,MATCH(B17,'Player Board'!$A$5:$A$304,0)),"")</f>
        <v/>
      </c>
      <c r="H17" s="19" t="str">
        <f aca="false">IF(E17="","",G17-E17)</f>
        <v/>
      </c>
      <c r="I17" s="43"/>
      <c r="J17" s="18" t="str">
        <f aca="false">IF(B17="","",IF(A17=MAX($A$5:$A$304),"LAST — CLEAR INPUTS TO UNDO",IF(AND(D17&lt;&gt;"",E17&lt;&gt;""),"LOGGED","INCOMPLETE")))</f>
        <v/>
      </c>
      <c r="K17" s="18" t="str">
        <f aca="false">IFERROR(INDEX('Player Board'!$AA$5:$AA$304,MATCH(B17,'Player Board'!$A$5:$A$304,0)),"")</f>
        <v/>
      </c>
    </row>
    <row r="18" customFormat="false" ht="18" hidden="false" customHeight="true" outlineLevel="0" collapsed="false">
      <c r="A18" s="18" t="str">
        <f aca="false">IF(B18="","",ROW()-4)</f>
        <v/>
      </c>
      <c r="B18" s="43"/>
      <c r="C18" s="18" t="str">
        <f aca="false">IFERROR(INDEX('Player Board'!$G$5:$G$304,MATCH(B18,'Player Board'!$A$5:$A$304,0)),"")</f>
        <v/>
      </c>
      <c r="D18" s="43"/>
      <c r="E18" s="44"/>
      <c r="F18" s="44"/>
      <c r="G18" s="19" t="str">
        <f aca="false">IFERROR(INDEX('Player Board'!$R$5:$R$304,MATCH(B18,'Player Board'!$A$5:$A$304,0)),"")</f>
        <v/>
      </c>
      <c r="H18" s="19" t="str">
        <f aca="false">IF(E18="","",G18-E18)</f>
        <v/>
      </c>
      <c r="I18" s="43"/>
      <c r="J18" s="18" t="str">
        <f aca="false">IF(B18="","",IF(A18=MAX($A$5:$A$304),"LAST — CLEAR INPUTS TO UNDO",IF(AND(D18&lt;&gt;"",E18&lt;&gt;""),"LOGGED","INCOMPLETE")))</f>
        <v/>
      </c>
      <c r="K18" s="18" t="str">
        <f aca="false">IFERROR(INDEX('Player Board'!$AA$5:$AA$304,MATCH(B18,'Player Board'!$A$5:$A$304,0)),"")</f>
        <v/>
      </c>
    </row>
    <row r="19" customFormat="false" ht="18" hidden="false" customHeight="true" outlineLevel="0" collapsed="false">
      <c r="A19" s="18" t="str">
        <f aca="false">IF(B19="","",ROW()-4)</f>
        <v/>
      </c>
      <c r="B19" s="43"/>
      <c r="C19" s="18" t="str">
        <f aca="false">IFERROR(INDEX('Player Board'!$G$5:$G$304,MATCH(B19,'Player Board'!$A$5:$A$304,0)),"")</f>
        <v/>
      </c>
      <c r="D19" s="43"/>
      <c r="E19" s="44"/>
      <c r="F19" s="44"/>
      <c r="G19" s="19" t="str">
        <f aca="false">IFERROR(INDEX('Player Board'!$R$5:$R$304,MATCH(B19,'Player Board'!$A$5:$A$304,0)),"")</f>
        <v/>
      </c>
      <c r="H19" s="19" t="str">
        <f aca="false">IF(E19="","",G19-E19)</f>
        <v/>
      </c>
      <c r="I19" s="43"/>
      <c r="J19" s="18" t="str">
        <f aca="false">IF(B19="","",IF(A19=MAX($A$5:$A$304),"LAST — CLEAR INPUTS TO UNDO",IF(AND(D19&lt;&gt;"",E19&lt;&gt;""),"LOGGED","INCOMPLETE")))</f>
        <v/>
      </c>
      <c r="K19" s="18" t="str">
        <f aca="false">IFERROR(INDEX('Player Board'!$AA$5:$AA$304,MATCH(B19,'Player Board'!$A$5:$A$304,0)),"")</f>
        <v/>
      </c>
    </row>
    <row r="20" customFormat="false" ht="18" hidden="false" customHeight="true" outlineLevel="0" collapsed="false">
      <c r="A20" s="18" t="str">
        <f aca="false">IF(B20="","",ROW()-4)</f>
        <v/>
      </c>
      <c r="B20" s="43"/>
      <c r="C20" s="18" t="str">
        <f aca="false">IFERROR(INDEX('Player Board'!$G$5:$G$304,MATCH(B20,'Player Board'!$A$5:$A$304,0)),"")</f>
        <v/>
      </c>
      <c r="D20" s="43"/>
      <c r="E20" s="44"/>
      <c r="F20" s="44"/>
      <c r="G20" s="19" t="str">
        <f aca="false">IFERROR(INDEX('Player Board'!$R$5:$R$304,MATCH(B20,'Player Board'!$A$5:$A$304,0)),"")</f>
        <v/>
      </c>
      <c r="H20" s="19" t="str">
        <f aca="false">IF(E20="","",G20-E20)</f>
        <v/>
      </c>
      <c r="I20" s="43"/>
      <c r="J20" s="18" t="str">
        <f aca="false">IF(B20="","",IF(A20=MAX($A$5:$A$304),"LAST — CLEAR INPUTS TO UNDO",IF(AND(D20&lt;&gt;"",E20&lt;&gt;""),"LOGGED","INCOMPLETE")))</f>
        <v/>
      </c>
      <c r="K20" s="18" t="str">
        <f aca="false">IFERROR(INDEX('Player Board'!$AA$5:$AA$304,MATCH(B20,'Player Board'!$A$5:$A$304,0)),"")</f>
        <v/>
      </c>
    </row>
    <row r="21" customFormat="false" ht="18" hidden="false" customHeight="true" outlineLevel="0" collapsed="false">
      <c r="A21" s="18" t="str">
        <f aca="false">IF(B21="","",ROW()-4)</f>
        <v/>
      </c>
      <c r="B21" s="43"/>
      <c r="C21" s="18" t="str">
        <f aca="false">IFERROR(INDEX('Player Board'!$G$5:$G$304,MATCH(B21,'Player Board'!$A$5:$A$304,0)),"")</f>
        <v/>
      </c>
      <c r="D21" s="43"/>
      <c r="E21" s="44"/>
      <c r="F21" s="44"/>
      <c r="G21" s="19" t="str">
        <f aca="false">IFERROR(INDEX('Player Board'!$R$5:$R$304,MATCH(B21,'Player Board'!$A$5:$A$304,0)),"")</f>
        <v/>
      </c>
      <c r="H21" s="19" t="str">
        <f aca="false">IF(E21="","",G21-E21)</f>
        <v/>
      </c>
      <c r="I21" s="43"/>
      <c r="J21" s="18" t="str">
        <f aca="false">IF(B21="","",IF(A21=MAX($A$5:$A$304),"LAST — CLEAR INPUTS TO UNDO",IF(AND(D21&lt;&gt;"",E21&lt;&gt;""),"LOGGED","INCOMPLETE")))</f>
        <v/>
      </c>
      <c r="K21" s="18" t="str">
        <f aca="false">IFERROR(INDEX('Player Board'!$AA$5:$AA$304,MATCH(B21,'Player Board'!$A$5:$A$304,0)),"")</f>
        <v/>
      </c>
    </row>
    <row r="22" customFormat="false" ht="18" hidden="false" customHeight="true" outlineLevel="0" collapsed="false">
      <c r="A22" s="18" t="str">
        <f aca="false">IF(B22="","",ROW()-4)</f>
        <v/>
      </c>
      <c r="B22" s="43"/>
      <c r="C22" s="18" t="str">
        <f aca="false">IFERROR(INDEX('Player Board'!$G$5:$G$304,MATCH(B22,'Player Board'!$A$5:$A$304,0)),"")</f>
        <v/>
      </c>
      <c r="D22" s="43"/>
      <c r="E22" s="44"/>
      <c r="F22" s="44"/>
      <c r="G22" s="19" t="str">
        <f aca="false">IFERROR(INDEX('Player Board'!$R$5:$R$304,MATCH(B22,'Player Board'!$A$5:$A$304,0)),"")</f>
        <v/>
      </c>
      <c r="H22" s="19" t="str">
        <f aca="false">IF(E22="","",G22-E22)</f>
        <v/>
      </c>
      <c r="I22" s="43"/>
      <c r="J22" s="18" t="str">
        <f aca="false">IF(B22="","",IF(A22=MAX($A$5:$A$304),"LAST — CLEAR INPUTS TO UNDO",IF(AND(D22&lt;&gt;"",E22&lt;&gt;""),"LOGGED","INCOMPLETE")))</f>
        <v/>
      </c>
      <c r="K22" s="18" t="str">
        <f aca="false">IFERROR(INDEX('Player Board'!$AA$5:$AA$304,MATCH(B22,'Player Board'!$A$5:$A$304,0)),"")</f>
        <v/>
      </c>
    </row>
    <row r="23" customFormat="false" ht="18" hidden="false" customHeight="true" outlineLevel="0" collapsed="false">
      <c r="A23" s="18" t="str">
        <f aca="false">IF(B23="","",ROW()-4)</f>
        <v/>
      </c>
      <c r="B23" s="43"/>
      <c r="C23" s="18" t="str">
        <f aca="false">IFERROR(INDEX('Player Board'!$G$5:$G$304,MATCH(B23,'Player Board'!$A$5:$A$304,0)),"")</f>
        <v/>
      </c>
      <c r="D23" s="43"/>
      <c r="E23" s="44"/>
      <c r="F23" s="44"/>
      <c r="G23" s="19" t="str">
        <f aca="false">IFERROR(INDEX('Player Board'!$R$5:$R$304,MATCH(B23,'Player Board'!$A$5:$A$304,0)),"")</f>
        <v/>
      </c>
      <c r="H23" s="19" t="str">
        <f aca="false">IF(E23="","",G23-E23)</f>
        <v/>
      </c>
      <c r="I23" s="43"/>
      <c r="J23" s="18" t="str">
        <f aca="false">IF(B23="","",IF(A23=MAX($A$5:$A$304),"LAST — CLEAR INPUTS TO UNDO",IF(AND(D23&lt;&gt;"",E23&lt;&gt;""),"LOGGED","INCOMPLETE")))</f>
        <v/>
      </c>
      <c r="K23" s="18" t="str">
        <f aca="false">IFERROR(INDEX('Player Board'!$AA$5:$AA$304,MATCH(B23,'Player Board'!$A$5:$A$304,0)),"")</f>
        <v/>
      </c>
    </row>
    <row r="24" customFormat="false" ht="18" hidden="false" customHeight="true" outlineLevel="0" collapsed="false">
      <c r="A24" s="18" t="str">
        <f aca="false">IF(B24="","",ROW()-4)</f>
        <v/>
      </c>
      <c r="B24" s="43"/>
      <c r="C24" s="18" t="str">
        <f aca="false">IFERROR(INDEX('Player Board'!$G$5:$G$304,MATCH(B24,'Player Board'!$A$5:$A$304,0)),"")</f>
        <v/>
      </c>
      <c r="D24" s="43"/>
      <c r="E24" s="44"/>
      <c r="F24" s="44"/>
      <c r="G24" s="19" t="str">
        <f aca="false">IFERROR(INDEX('Player Board'!$R$5:$R$304,MATCH(B24,'Player Board'!$A$5:$A$304,0)),"")</f>
        <v/>
      </c>
      <c r="H24" s="19" t="str">
        <f aca="false">IF(E24="","",G24-E24)</f>
        <v/>
      </c>
      <c r="I24" s="43"/>
      <c r="J24" s="18" t="str">
        <f aca="false">IF(B24="","",IF(A24=MAX($A$5:$A$304),"LAST — CLEAR INPUTS TO UNDO",IF(AND(D24&lt;&gt;"",E24&lt;&gt;""),"LOGGED","INCOMPLETE")))</f>
        <v/>
      </c>
      <c r="K24" s="18" t="str">
        <f aca="false">IFERROR(INDEX('Player Board'!$AA$5:$AA$304,MATCH(B24,'Player Board'!$A$5:$A$304,0)),"")</f>
        <v/>
      </c>
    </row>
    <row r="25" customFormat="false" ht="18" hidden="false" customHeight="true" outlineLevel="0" collapsed="false">
      <c r="A25" s="18" t="str">
        <f aca="false">IF(B25="","",ROW()-4)</f>
        <v/>
      </c>
      <c r="B25" s="43"/>
      <c r="C25" s="18" t="str">
        <f aca="false">IFERROR(INDEX('Player Board'!$G$5:$G$304,MATCH(B25,'Player Board'!$A$5:$A$304,0)),"")</f>
        <v/>
      </c>
      <c r="D25" s="43"/>
      <c r="E25" s="44"/>
      <c r="F25" s="44"/>
      <c r="G25" s="19" t="str">
        <f aca="false">IFERROR(INDEX('Player Board'!$R$5:$R$304,MATCH(B25,'Player Board'!$A$5:$A$304,0)),"")</f>
        <v/>
      </c>
      <c r="H25" s="19" t="str">
        <f aca="false">IF(E25="","",G25-E25)</f>
        <v/>
      </c>
      <c r="I25" s="43"/>
      <c r="J25" s="18" t="str">
        <f aca="false">IF(B25="","",IF(A25=MAX($A$5:$A$304),"LAST — CLEAR INPUTS TO UNDO",IF(AND(D25&lt;&gt;"",E25&lt;&gt;""),"LOGGED","INCOMPLETE")))</f>
        <v/>
      </c>
      <c r="K25" s="18" t="str">
        <f aca="false">IFERROR(INDEX('Player Board'!$AA$5:$AA$304,MATCH(B25,'Player Board'!$A$5:$A$304,0)),"")</f>
        <v/>
      </c>
    </row>
    <row r="26" customFormat="false" ht="18" hidden="false" customHeight="true" outlineLevel="0" collapsed="false">
      <c r="A26" s="18" t="str">
        <f aca="false">IF(B26="","",ROW()-4)</f>
        <v/>
      </c>
      <c r="B26" s="43"/>
      <c r="C26" s="18" t="str">
        <f aca="false">IFERROR(INDEX('Player Board'!$G$5:$G$304,MATCH(B26,'Player Board'!$A$5:$A$304,0)),"")</f>
        <v/>
      </c>
      <c r="D26" s="43"/>
      <c r="E26" s="44"/>
      <c r="F26" s="44"/>
      <c r="G26" s="19" t="str">
        <f aca="false">IFERROR(INDEX('Player Board'!$R$5:$R$304,MATCH(B26,'Player Board'!$A$5:$A$304,0)),"")</f>
        <v/>
      </c>
      <c r="H26" s="19" t="str">
        <f aca="false">IF(E26="","",G26-E26)</f>
        <v/>
      </c>
      <c r="I26" s="43"/>
      <c r="J26" s="18" t="str">
        <f aca="false">IF(B26="","",IF(A26=MAX($A$5:$A$304),"LAST — CLEAR INPUTS TO UNDO",IF(AND(D26&lt;&gt;"",E26&lt;&gt;""),"LOGGED","INCOMPLETE")))</f>
        <v/>
      </c>
      <c r="K26" s="18" t="str">
        <f aca="false">IFERROR(INDEX('Player Board'!$AA$5:$AA$304,MATCH(B26,'Player Board'!$A$5:$A$304,0)),"")</f>
        <v/>
      </c>
    </row>
    <row r="27" customFormat="false" ht="18" hidden="false" customHeight="true" outlineLevel="0" collapsed="false">
      <c r="A27" s="18" t="str">
        <f aca="false">IF(B27="","",ROW()-4)</f>
        <v/>
      </c>
      <c r="B27" s="43"/>
      <c r="C27" s="18" t="str">
        <f aca="false">IFERROR(INDEX('Player Board'!$G$5:$G$304,MATCH(B27,'Player Board'!$A$5:$A$304,0)),"")</f>
        <v/>
      </c>
      <c r="D27" s="43"/>
      <c r="E27" s="44"/>
      <c r="F27" s="44"/>
      <c r="G27" s="19" t="str">
        <f aca="false">IFERROR(INDEX('Player Board'!$R$5:$R$304,MATCH(B27,'Player Board'!$A$5:$A$304,0)),"")</f>
        <v/>
      </c>
      <c r="H27" s="19" t="str">
        <f aca="false">IF(E27="","",G27-E27)</f>
        <v/>
      </c>
      <c r="I27" s="43"/>
      <c r="J27" s="18" t="str">
        <f aca="false">IF(B27="","",IF(A27=MAX($A$5:$A$304),"LAST — CLEAR INPUTS TO UNDO",IF(AND(D27&lt;&gt;"",E27&lt;&gt;""),"LOGGED","INCOMPLETE")))</f>
        <v/>
      </c>
      <c r="K27" s="18" t="str">
        <f aca="false">IFERROR(INDEX('Player Board'!$AA$5:$AA$304,MATCH(B27,'Player Board'!$A$5:$A$304,0)),"")</f>
        <v/>
      </c>
    </row>
    <row r="28" customFormat="false" ht="18" hidden="false" customHeight="true" outlineLevel="0" collapsed="false">
      <c r="A28" s="18" t="str">
        <f aca="false">IF(B28="","",ROW()-4)</f>
        <v/>
      </c>
      <c r="B28" s="43"/>
      <c r="C28" s="18" t="str">
        <f aca="false">IFERROR(INDEX('Player Board'!$G$5:$G$304,MATCH(B28,'Player Board'!$A$5:$A$304,0)),"")</f>
        <v/>
      </c>
      <c r="D28" s="43"/>
      <c r="E28" s="44"/>
      <c r="F28" s="44"/>
      <c r="G28" s="19" t="str">
        <f aca="false">IFERROR(INDEX('Player Board'!$R$5:$R$304,MATCH(B28,'Player Board'!$A$5:$A$304,0)),"")</f>
        <v/>
      </c>
      <c r="H28" s="19" t="str">
        <f aca="false">IF(E28="","",G28-E28)</f>
        <v/>
      </c>
      <c r="I28" s="43"/>
      <c r="J28" s="18" t="str">
        <f aca="false">IF(B28="","",IF(A28=MAX($A$5:$A$304),"LAST — CLEAR INPUTS TO UNDO",IF(AND(D28&lt;&gt;"",E28&lt;&gt;""),"LOGGED","INCOMPLETE")))</f>
        <v/>
      </c>
      <c r="K28" s="18" t="str">
        <f aca="false">IFERROR(INDEX('Player Board'!$AA$5:$AA$304,MATCH(B28,'Player Board'!$A$5:$A$304,0)),"")</f>
        <v/>
      </c>
    </row>
    <row r="29" customFormat="false" ht="18" hidden="false" customHeight="true" outlineLevel="0" collapsed="false">
      <c r="A29" s="18" t="str">
        <f aca="false">IF(B29="","",ROW()-4)</f>
        <v/>
      </c>
      <c r="B29" s="43"/>
      <c r="C29" s="18" t="str">
        <f aca="false">IFERROR(INDEX('Player Board'!$G$5:$G$304,MATCH(B29,'Player Board'!$A$5:$A$304,0)),"")</f>
        <v/>
      </c>
      <c r="D29" s="43"/>
      <c r="E29" s="44"/>
      <c r="F29" s="44"/>
      <c r="G29" s="19" t="str">
        <f aca="false">IFERROR(INDEX('Player Board'!$R$5:$R$304,MATCH(B29,'Player Board'!$A$5:$A$304,0)),"")</f>
        <v/>
      </c>
      <c r="H29" s="19" t="str">
        <f aca="false">IF(E29="","",G29-E29)</f>
        <v/>
      </c>
      <c r="I29" s="43"/>
      <c r="J29" s="18" t="str">
        <f aca="false">IF(B29="","",IF(A29=MAX($A$5:$A$304),"LAST — CLEAR INPUTS TO UNDO",IF(AND(D29&lt;&gt;"",E29&lt;&gt;""),"LOGGED","INCOMPLETE")))</f>
        <v/>
      </c>
      <c r="K29" s="18" t="str">
        <f aca="false">IFERROR(INDEX('Player Board'!$AA$5:$AA$304,MATCH(B29,'Player Board'!$A$5:$A$304,0)),"")</f>
        <v/>
      </c>
    </row>
    <row r="30" customFormat="false" ht="18" hidden="false" customHeight="true" outlineLevel="0" collapsed="false">
      <c r="A30" s="18" t="str">
        <f aca="false">IF(B30="","",ROW()-4)</f>
        <v/>
      </c>
      <c r="B30" s="43"/>
      <c r="C30" s="18" t="str">
        <f aca="false">IFERROR(INDEX('Player Board'!$G$5:$G$304,MATCH(B30,'Player Board'!$A$5:$A$304,0)),"")</f>
        <v/>
      </c>
      <c r="D30" s="43"/>
      <c r="E30" s="44"/>
      <c r="F30" s="44"/>
      <c r="G30" s="19" t="str">
        <f aca="false">IFERROR(INDEX('Player Board'!$R$5:$R$304,MATCH(B30,'Player Board'!$A$5:$A$304,0)),"")</f>
        <v/>
      </c>
      <c r="H30" s="19" t="str">
        <f aca="false">IF(E30="","",G30-E30)</f>
        <v/>
      </c>
      <c r="I30" s="43"/>
      <c r="J30" s="18" t="str">
        <f aca="false">IF(B30="","",IF(A30=MAX($A$5:$A$304),"LAST — CLEAR INPUTS TO UNDO",IF(AND(D30&lt;&gt;"",E30&lt;&gt;""),"LOGGED","INCOMPLETE")))</f>
        <v/>
      </c>
      <c r="K30" s="18" t="str">
        <f aca="false">IFERROR(INDEX('Player Board'!$AA$5:$AA$304,MATCH(B30,'Player Board'!$A$5:$A$304,0)),"")</f>
        <v/>
      </c>
    </row>
    <row r="31" customFormat="false" ht="18" hidden="false" customHeight="true" outlineLevel="0" collapsed="false">
      <c r="A31" s="18" t="str">
        <f aca="false">IF(B31="","",ROW()-4)</f>
        <v/>
      </c>
      <c r="B31" s="43"/>
      <c r="C31" s="18" t="str">
        <f aca="false">IFERROR(INDEX('Player Board'!$G$5:$G$304,MATCH(B31,'Player Board'!$A$5:$A$304,0)),"")</f>
        <v/>
      </c>
      <c r="D31" s="43"/>
      <c r="E31" s="44"/>
      <c r="F31" s="44"/>
      <c r="G31" s="19" t="str">
        <f aca="false">IFERROR(INDEX('Player Board'!$R$5:$R$304,MATCH(B31,'Player Board'!$A$5:$A$304,0)),"")</f>
        <v/>
      </c>
      <c r="H31" s="19" t="str">
        <f aca="false">IF(E31="","",G31-E31)</f>
        <v/>
      </c>
      <c r="I31" s="43"/>
      <c r="J31" s="18" t="str">
        <f aca="false">IF(B31="","",IF(A31=MAX($A$5:$A$304),"LAST — CLEAR INPUTS TO UNDO",IF(AND(D31&lt;&gt;"",E31&lt;&gt;""),"LOGGED","INCOMPLETE")))</f>
        <v/>
      </c>
      <c r="K31" s="18" t="str">
        <f aca="false">IFERROR(INDEX('Player Board'!$AA$5:$AA$304,MATCH(B31,'Player Board'!$A$5:$A$304,0)),"")</f>
        <v/>
      </c>
    </row>
    <row r="32" customFormat="false" ht="18" hidden="false" customHeight="true" outlineLevel="0" collapsed="false">
      <c r="A32" s="18" t="str">
        <f aca="false">IF(B32="","",ROW()-4)</f>
        <v/>
      </c>
      <c r="B32" s="43"/>
      <c r="C32" s="18" t="str">
        <f aca="false">IFERROR(INDEX('Player Board'!$G$5:$G$304,MATCH(B32,'Player Board'!$A$5:$A$304,0)),"")</f>
        <v/>
      </c>
      <c r="D32" s="43"/>
      <c r="E32" s="44"/>
      <c r="F32" s="44"/>
      <c r="G32" s="19" t="str">
        <f aca="false">IFERROR(INDEX('Player Board'!$R$5:$R$304,MATCH(B32,'Player Board'!$A$5:$A$304,0)),"")</f>
        <v/>
      </c>
      <c r="H32" s="19" t="str">
        <f aca="false">IF(E32="","",G32-E32)</f>
        <v/>
      </c>
      <c r="I32" s="43"/>
      <c r="J32" s="18" t="str">
        <f aca="false">IF(B32="","",IF(A32=MAX($A$5:$A$304),"LAST — CLEAR INPUTS TO UNDO",IF(AND(D32&lt;&gt;"",E32&lt;&gt;""),"LOGGED","INCOMPLETE")))</f>
        <v/>
      </c>
      <c r="K32" s="18" t="str">
        <f aca="false">IFERROR(INDEX('Player Board'!$AA$5:$AA$304,MATCH(B32,'Player Board'!$A$5:$A$304,0)),"")</f>
        <v/>
      </c>
    </row>
    <row r="33" customFormat="false" ht="18" hidden="false" customHeight="true" outlineLevel="0" collapsed="false">
      <c r="A33" s="18" t="str">
        <f aca="false">IF(B33="","",ROW()-4)</f>
        <v/>
      </c>
      <c r="B33" s="43"/>
      <c r="C33" s="18" t="str">
        <f aca="false">IFERROR(INDEX('Player Board'!$G$5:$G$304,MATCH(B33,'Player Board'!$A$5:$A$304,0)),"")</f>
        <v/>
      </c>
      <c r="D33" s="43"/>
      <c r="E33" s="44"/>
      <c r="F33" s="44"/>
      <c r="G33" s="19" t="str">
        <f aca="false">IFERROR(INDEX('Player Board'!$R$5:$R$304,MATCH(B33,'Player Board'!$A$5:$A$304,0)),"")</f>
        <v/>
      </c>
      <c r="H33" s="19" t="str">
        <f aca="false">IF(E33="","",G33-E33)</f>
        <v/>
      </c>
      <c r="I33" s="43"/>
      <c r="J33" s="18" t="str">
        <f aca="false">IF(B33="","",IF(A33=MAX($A$5:$A$304),"LAST — CLEAR INPUTS TO UNDO",IF(AND(D33&lt;&gt;"",E33&lt;&gt;""),"LOGGED","INCOMPLETE")))</f>
        <v/>
      </c>
      <c r="K33" s="18" t="str">
        <f aca="false">IFERROR(INDEX('Player Board'!$AA$5:$AA$304,MATCH(B33,'Player Board'!$A$5:$A$304,0)),"")</f>
        <v/>
      </c>
    </row>
    <row r="34" customFormat="false" ht="18" hidden="false" customHeight="true" outlineLevel="0" collapsed="false">
      <c r="A34" s="18" t="str">
        <f aca="false">IF(B34="","",ROW()-4)</f>
        <v/>
      </c>
      <c r="B34" s="43"/>
      <c r="C34" s="18" t="str">
        <f aca="false">IFERROR(INDEX('Player Board'!$G$5:$G$304,MATCH(B34,'Player Board'!$A$5:$A$304,0)),"")</f>
        <v/>
      </c>
      <c r="D34" s="43"/>
      <c r="E34" s="44"/>
      <c r="F34" s="44"/>
      <c r="G34" s="19" t="str">
        <f aca="false">IFERROR(INDEX('Player Board'!$R$5:$R$304,MATCH(B34,'Player Board'!$A$5:$A$304,0)),"")</f>
        <v/>
      </c>
      <c r="H34" s="19" t="str">
        <f aca="false">IF(E34="","",G34-E34)</f>
        <v/>
      </c>
      <c r="I34" s="43"/>
      <c r="J34" s="18" t="str">
        <f aca="false">IF(B34="","",IF(A34=MAX($A$5:$A$304),"LAST — CLEAR INPUTS TO UNDO",IF(AND(D34&lt;&gt;"",E34&lt;&gt;""),"LOGGED","INCOMPLETE")))</f>
        <v/>
      </c>
      <c r="K34" s="18" t="str">
        <f aca="false">IFERROR(INDEX('Player Board'!$AA$5:$AA$304,MATCH(B34,'Player Board'!$A$5:$A$304,0)),"")</f>
        <v/>
      </c>
    </row>
    <row r="35" customFormat="false" ht="18" hidden="false" customHeight="true" outlineLevel="0" collapsed="false">
      <c r="A35" s="18" t="str">
        <f aca="false">IF(B35="","",ROW()-4)</f>
        <v/>
      </c>
      <c r="B35" s="43"/>
      <c r="C35" s="18" t="str">
        <f aca="false">IFERROR(INDEX('Player Board'!$G$5:$G$304,MATCH(B35,'Player Board'!$A$5:$A$304,0)),"")</f>
        <v/>
      </c>
      <c r="D35" s="43"/>
      <c r="E35" s="44"/>
      <c r="F35" s="44"/>
      <c r="G35" s="19" t="str">
        <f aca="false">IFERROR(INDEX('Player Board'!$R$5:$R$304,MATCH(B35,'Player Board'!$A$5:$A$304,0)),"")</f>
        <v/>
      </c>
      <c r="H35" s="19" t="str">
        <f aca="false">IF(E35="","",G35-E35)</f>
        <v/>
      </c>
      <c r="I35" s="43"/>
      <c r="J35" s="18" t="str">
        <f aca="false">IF(B35="","",IF(A35=MAX($A$5:$A$304),"LAST — CLEAR INPUTS TO UNDO",IF(AND(D35&lt;&gt;"",E35&lt;&gt;""),"LOGGED","INCOMPLETE")))</f>
        <v/>
      </c>
      <c r="K35" s="18" t="str">
        <f aca="false">IFERROR(INDEX('Player Board'!$AA$5:$AA$304,MATCH(B35,'Player Board'!$A$5:$A$304,0)),"")</f>
        <v/>
      </c>
    </row>
    <row r="36" customFormat="false" ht="18" hidden="false" customHeight="true" outlineLevel="0" collapsed="false">
      <c r="A36" s="18" t="str">
        <f aca="false">IF(B36="","",ROW()-4)</f>
        <v/>
      </c>
      <c r="B36" s="43"/>
      <c r="C36" s="18" t="str">
        <f aca="false">IFERROR(INDEX('Player Board'!$G$5:$G$304,MATCH(B36,'Player Board'!$A$5:$A$304,0)),"")</f>
        <v/>
      </c>
      <c r="D36" s="43"/>
      <c r="E36" s="44"/>
      <c r="F36" s="44"/>
      <c r="G36" s="19" t="str">
        <f aca="false">IFERROR(INDEX('Player Board'!$R$5:$R$304,MATCH(B36,'Player Board'!$A$5:$A$304,0)),"")</f>
        <v/>
      </c>
      <c r="H36" s="19" t="str">
        <f aca="false">IF(E36="","",G36-E36)</f>
        <v/>
      </c>
      <c r="I36" s="43"/>
      <c r="J36" s="18" t="str">
        <f aca="false">IF(B36="","",IF(A36=MAX($A$5:$A$304),"LAST — CLEAR INPUTS TO UNDO",IF(AND(D36&lt;&gt;"",E36&lt;&gt;""),"LOGGED","INCOMPLETE")))</f>
        <v/>
      </c>
      <c r="K36" s="18" t="str">
        <f aca="false">IFERROR(INDEX('Player Board'!$AA$5:$AA$304,MATCH(B36,'Player Board'!$A$5:$A$304,0)),"")</f>
        <v/>
      </c>
    </row>
    <row r="37" customFormat="false" ht="18" hidden="false" customHeight="true" outlineLevel="0" collapsed="false">
      <c r="A37" s="18" t="str">
        <f aca="false">IF(B37="","",ROW()-4)</f>
        <v/>
      </c>
      <c r="B37" s="43"/>
      <c r="C37" s="18" t="str">
        <f aca="false">IFERROR(INDEX('Player Board'!$G$5:$G$304,MATCH(B37,'Player Board'!$A$5:$A$304,0)),"")</f>
        <v/>
      </c>
      <c r="D37" s="43"/>
      <c r="E37" s="44"/>
      <c r="F37" s="44"/>
      <c r="G37" s="19" t="str">
        <f aca="false">IFERROR(INDEX('Player Board'!$R$5:$R$304,MATCH(B37,'Player Board'!$A$5:$A$304,0)),"")</f>
        <v/>
      </c>
      <c r="H37" s="19" t="str">
        <f aca="false">IF(E37="","",G37-E37)</f>
        <v/>
      </c>
      <c r="I37" s="43"/>
      <c r="J37" s="18" t="str">
        <f aca="false">IF(B37="","",IF(A37=MAX($A$5:$A$304),"LAST — CLEAR INPUTS TO UNDO",IF(AND(D37&lt;&gt;"",E37&lt;&gt;""),"LOGGED","INCOMPLETE")))</f>
        <v/>
      </c>
      <c r="K37" s="18" t="str">
        <f aca="false">IFERROR(INDEX('Player Board'!$AA$5:$AA$304,MATCH(B37,'Player Board'!$A$5:$A$304,0)),"")</f>
        <v/>
      </c>
    </row>
    <row r="38" customFormat="false" ht="18" hidden="false" customHeight="true" outlineLevel="0" collapsed="false">
      <c r="A38" s="18" t="str">
        <f aca="false">IF(B38="","",ROW()-4)</f>
        <v/>
      </c>
      <c r="B38" s="43"/>
      <c r="C38" s="18" t="str">
        <f aca="false">IFERROR(INDEX('Player Board'!$G$5:$G$304,MATCH(B38,'Player Board'!$A$5:$A$304,0)),"")</f>
        <v/>
      </c>
      <c r="D38" s="43"/>
      <c r="E38" s="44"/>
      <c r="F38" s="44"/>
      <c r="G38" s="19" t="str">
        <f aca="false">IFERROR(INDEX('Player Board'!$R$5:$R$304,MATCH(B38,'Player Board'!$A$5:$A$304,0)),"")</f>
        <v/>
      </c>
      <c r="H38" s="19" t="str">
        <f aca="false">IF(E38="","",G38-E38)</f>
        <v/>
      </c>
      <c r="I38" s="43"/>
      <c r="J38" s="18" t="str">
        <f aca="false">IF(B38="","",IF(A38=MAX($A$5:$A$304),"LAST — CLEAR INPUTS TO UNDO",IF(AND(D38&lt;&gt;"",E38&lt;&gt;""),"LOGGED","INCOMPLETE")))</f>
        <v/>
      </c>
      <c r="K38" s="18" t="str">
        <f aca="false">IFERROR(INDEX('Player Board'!$AA$5:$AA$304,MATCH(B38,'Player Board'!$A$5:$A$304,0)),"")</f>
        <v/>
      </c>
    </row>
    <row r="39" customFormat="false" ht="18" hidden="false" customHeight="true" outlineLevel="0" collapsed="false">
      <c r="A39" s="18" t="str">
        <f aca="false">IF(B39="","",ROW()-4)</f>
        <v/>
      </c>
      <c r="B39" s="43"/>
      <c r="C39" s="18" t="str">
        <f aca="false">IFERROR(INDEX('Player Board'!$G$5:$G$304,MATCH(B39,'Player Board'!$A$5:$A$304,0)),"")</f>
        <v/>
      </c>
      <c r="D39" s="43"/>
      <c r="E39" s="44"/>
      <c r="F39" s="44"/>
      <c r="G39" s="19" t="str">
        <f aca="false">IFERROR(INDEX('Player Board'!$R$5:$R$304,MATCH(B39,'Player Board'!$A$5:$A$304,0)),"")</f>
        <v/>
      </c>
      <c r="H39" s="19" t="str">
        <f aca="false">IF(E39="","",G39-E39)</f>
        <v/>
      </c>
      <c r="I39" s="43"/>
      <c r="J39" s="18" t="str">
        <f aca="false">IF(B39="","",IF(A39=MAX($A$5:$A$304),"LAST — CLEAR INPUTS TO UNDO",IF(AND(D39&lt;&gt;"",E39&lt;&gt;""),"LOGGED","INCOMPLETE")))</f>
        <v/>
      </c>
      <c r="K39" s="18" t="str">
        <f aca="false">IFERROR(INDEX('Player Board'!$AA$5:$AA$304,MATCH(B39,'Player Board'!$A$5:$A$304,0)),"")</f>
        <v/>
      </c>
    </row>
    <row r="40" customFormat="false" ht="18" hidden="false" customHeight="true" outlineLevel="0" collapsed="false">
      <c r="A40" s="18" t="str">
        <f aca="false">IF(B40="","",ROW()-4)</f>
        <v/>
      </c>
      <c r="B40" s="43"/>
      <c r="C40" s="18" t="str">
        <f aca="false">IFERROR(INDEX('Player Board'!$G$5:$G$304,MATCH(B40,'Player Board'!$A$5:$A$304,0)),"")</f>
        <v/>
      </c>
      <c r="D40" s="43"/>
      <c r="E40" s="44"/>
      <c r="F40" s="44"/>
      <c r="G40" s="19" t="str">
        <f aca="false">IFERROR(INDEX('Player Board'!$R$5:$R$304,MATCH(B40,'Player Board'!$A$5:$A$304,0)),"")</f>
        <v/>
      </c>
      <c r="H40" s="19" t="str">
        <f aca="false">IF(E40="","",G40-E40)</f>
        <v/>
      </c>
      <c r="I40" s="43"/>
      <c r="J40" s="18" t="str">
        <f aca="false">IF(B40="","",IF(A40=MAX($A$5:$A$304),"LAST — CLEAR INPUTS TO UNDO",IF(AND(D40&lt;&gt;"",E40&lt;&gt;""),"LOGGED","INCOMPLETE")))</f>
        <v/>
      </c>
      <c r="K40" s="18" t="str">
        <f aca="false">IFERROR(INDEX('Player Board'!$AA$5:$AA$304,MATCH(B40,'Player Board'!$A$5:$A$304,0)),"")</f>
        <v/>
      </c>
    </row>
    <row r="41" customFormat="false" ht="18" hidden="false" customHeight="true" outlineLevel="0" collapsed="false">
      <c r="A41" s="18" t="str">
        <f aca="false">IF(B41="","",ROW()-4)</f>
        <v/>
      </c>
      <c r="B41" s="43"/>
      <c r="C41" s="18" t="str">
        <f aca="false">IFERROR(INDEX('Player Board'!$G$5:$G$304,MATCH(B41,'Player Board'!$A$5:$A$304,0)),"")</f>
        <v/>
      </c>
      <c r="D41" s="43"/>
      <c r="E41" s="44"/>
      <c r="F41" s="44"/>
      <c r="G41" s="19" t="str">
        <f aca="false">IFERROR(INDEX('Player Board'!$R$5:$R$304,MATCH(B41,'Player Board'!$A$5:$A$304,0)),"")</f>
        <v/>
      </c>
      <c r="H41" s="19" t="str">
        <f aca="false">IF(E41="","",G41-E41)</f>
        <v/>
      </c>
      <c r="I41" s="43"/>
      <c r="J41" s="18" t="str">
        <f aca="false">IF(B41="","",IF(A41=MAX($A$5:$A$304),"LAST — CLEAR INPUTS TO UNDO",IF(AND(D41&lt;&gt;"",E41&lt;&gt;""),"LOGGED","INCOMPLETE")))</f>
        <v/>
      </c>
      <c r="K41" s="18" t="str">
        <f aca="false">IFERROR(INDEX('Player Board'!$AA$5:$AA$304,MATCH(B41,'Player Board'!$A$5:$A$304,0)),"")</f>
        <v/>
      </c>
    </row>
    <row r="42" customFormat="false" ht="18" hidden="false" customHeight="true" outlineLevel="0" collapsed="false">
      <c r="A42" s="18" t="str">
        <f aca="false">IF(B42="","",ROW()-4)</f>
        <v/>
      </c>
      <c r="B42" s="43"/>
      <c r="C42" s="18" t="str">
        <f aca="false">IFERROR(INDEX('Player Board'!$G$5:$G$304,MATCH(B42,'Player Board'!$A$5:$A$304,0)),"")</f>
        <v/>
      </c>
      <c r="D42" s="43"/>
      <c r="E42" s="44"/>
      <c r="F42" s="44"/>
      <c r="G42" s="19" t="str">
        <f aca="false">IFERROR(INDEX('Player Board'!$R$5:$R$304,MATCH(B42,'Player Board'!$A$5:$A$304,0)),"")</f>
        <v/>
      </c>
      <c r="H42" s="19" t="str">
        <f aca="false">IF(E42="","",G42-E42)</f>
        <v/>
      </c>
      <c r="I42" s="43"/>
      <c r="J42" s="18" t="str">
        <f aca="false">IF(B42="","",IF(A42=MAX($A$5:$A$304),"LAST — CLEAR INPUTS TO UNDO",IF(AND(D42&lt;&gt;"",E42&lt;&gt;""),"LOGGED","INCOMPLETE")))</f>
        <v/>
      </c>
      <c r="K42" s="18" t="str">
        <f aca="false">IFERROR(INDEX('Player Board'!$AA$5:$AA$304,MATCH(B42,'Player Board'!$A$5:$A$304,0)),"")</f>
        <v/>
      </c>
    </row>
    <row r="43" customFormat="false" ht="18" hidden="false" customHeight="true" outlineLevel="0" collapsed="false">
      <c r="A43" s="18" t="str">
        <f aca="false">IF(B43="","",ROW()-4)</f>
        <v/>
      </c>
      <c r="B43" s="43"/>
      <c r="C43" s="18" t="str">
        <f aca="false">IFERROR(INDEX('Player Board'!$G$5:$G$304,MATCH(B43,'Player Board'!$A$5:$A$304,0)),"")</f>
        <v/>
      </c>
      <c r="D43" s="43"/>
      <c r="E43" s="44"/>
      <c r="F43" s="44"/>
      <c r="G43" s="19" t="str">
        <f aca="false">IFERROR(INDEX('Player Board'!$R$5:$R$304,MATCH(B43,'Player Board'!$A$5:$A$304,0)),"")</f>
        <v/>
      </c>
      <c r="H43" s="19" t="str">
        <f aca="false">IF(E43="","",G43-E43)</f>
        <v/>
      </c>
      <c r="I43" s="43"/>
      <c r="J43" s="18" t="str">
        <f aca="false">IF(B43="","",IF(A43=MAX($A$5:$A$304),"LAST — CLEAR INPUTS TO UNDO",IF(AND(D43&lt;&gt;"",E43&lt;&gt;""),"LOGGED","INCOMPLETE")))</f>
        <v/>
      </c>
      <c r="K43" s="18" t="str">
        <f aca="false">IFERROR(INDEX('Player Board'!$AA$5:$AA$304,MATCH(B43,'Player Board'!$A$5:$A$304,0)),"")</f>
        <v/>
      </c>
    </row>
    <row r="44" customFormat="false" ht="18" hidden="false" customHeight="true" outlineLevel="0" collapsed="false">
      <c r="A44" s="18" t="str">
        <f aca="false">IF(B44="","",ROW()-4)</f>
        <v/>
      </c>
      <c r="B44" s="43"/>
      <c r="C44" s="18" t="str">
        <f aca="false">IFERROR(INDEX('Player Board'!$G$5:$G$304,MATCH(B44,'Player Board'!$A$5:$A$304,0)),"")</f>
        <v/>
      </c>
      <c r="D44" s="43"/>
      <c r="E44" s="44"/>
      <c r="F44" s="44"/>
      <c r="G44" s="19" t="str">
        <f aca="false">IFERROR(INDEX('Player Board'!$R$5:$R$304,MATCH(B44,'Player Board'!$A$5:$A$304,0)),"")</f>
        <v/>
      </c>
      <c r="H44" s="19" t="str">
        <f aca="false">IF(E44="","",G44-E44)</f>
        <v/>
      </c>
      <c r="I44" s="43"/>
      <c r="J44" s="18" t="str">
        <f aca="false">IF(B44="","",IF(A44=MAX($A$5:$A$304),"LAST — CLEAR INPUTS TO UNDO",IF(AND(D44&lt;&gt;"",E44&lt;&gt;""),"LOGGED","INCOMPLETE")))</f>
        <v/>
      </c>
      <c r="K44" s="18" t="str">
        <f aca="false">IFERROR(INDEX('Player Board'!$AA$5:$AA$304,MATCH(B44,'Player Board'!$A$5:$A$304,0)),"")</f>
        <v/>
      </c>
    </row>
    <row r="45" customFormat="false" ht="18" hidden="false" customHeight="true" outlineLevel="0" collapsed="false">
      <c r="A45" s="18" t="str">
        <f aca="false">IF(B45="","",ROW()-4)</f>
        <v/>
      </c>
      <c r="B45" s="43"/>
      <c r="C45" s="18" t="str">
        <f aca="false">IFERROR(INDEX('Player Board'!$G$5:$G$304,MATCH(B45,'Player Board'!$A$5:$A$304,0)),"")</f>
        <v/>
      </c>
      <c r="D45" s="43"/>
      <c r="E45" s="44"/>
      <c r="F45" s="44"/>
      <c r="G45" s="19" t="str">
        <f aca="false">IFERROR(INDEX('Player Board'!$R$5:$R$304,MATCH(B45,'Player Board'!$A$5:$A$304,0)),"")</f>
        <v/>
      </c>
      <c r="H45" s="19" t="str">
        <f aca="false">IF(E45="","",G45-E45)</f>
        <v/>
      </c>
      <c r="I45" s="43"/>
      <c r="J45" s="18" t="str">
        <f aca="false">IF(B45="","",IF(A45=MAX($A$5:$A$304),"LAST — CLEAR INPUTS TO UNDO",IF(AND(D45&lt;&gt;"",E45&lt;&gt;""),"LOGGED","INCOMPLETE")))</f>
        <v/>
      </c>
      <c r="K45" s="18" t="str">
        <f aca="false">IFERROR(INDEX('Player Board'!$AA$5:$AA$304,MATCH(B45,'Player Board'!$A$5:$A$304,0)),"")</f>
        <v/>
      </c>
    </row>
    <row r="46" customFormat="false" ht="18" hidden="false" customHeight="true" outlineLevel="0" collapsed="false">
      <c r="A46" s="18" t="str">
        <f aca="false">IF(B46="","",ROW()-4)</f>
        <v/>
      </c>
      <c r="B46" s="43"/>
      <c r="C46" s="18" t="str">
        <f aca="false">IFERROR(INDEX('Player Board'!$G$5:$G$304,MATCH(B46,'Player Board'!$A$5:$A$304,0)),"")</f>
        <v/>
      </c>
      <c r="D46" s="43"/>
      <c r="E46" s="44"/>
      <c r="F46" s="44"/>
      <c r="G46" s="19" t="str">
        <f aca="false">IFERROR(INDEX('Player Board'!$R$5:$R$304,MATCH(B46,'Player Board'!$A$5:$A$304,0)),"")</f>
        <v/>
      </c>
      <c r="H46" s="19" t="str">
        <f aca="false">IF(E46="","",G46-E46)</f>
        <v/>
      </c>
      <c r="I46" s="43"/>
      <c r="J46" s="18" t="str">
        <f aca="false">IF(B46="","",IF(A46=MAX($A$5:$A$304),"LAST — CLEAR INPUTS TO UNDO",IF(AND(D46&lt;&gt;"",E46&lt;&gt;""),"LOGGED","INCOMPLETE")))</f>
        <v/>
      </c>
      <c r="K46" s="18" t="str">
        <f aca="false">IFERROR(INDEX('Player Board'!$AA$5:$AA$304,MATCH(B46,'Player Board'!$A$5:$A$304,0)),"")</f>
        <v/>
      </c>
    </row>
    <row r="47" customFormat="false" ht="18" hidden="false" customHeight="true" outlineLevel="0" collapsed="false">
      <c r="A47" s="18" t="str">
        <f aca="false">IF(B47="","",ROW()-4)</f>
        <v/>
      </c>
      <c r="B47" s="43"/>
      <c r="C47" s="18" t="str">
        <f aca="false">IFERROR(INDEX('Player Board'!$G$5:$G$304,MATCH(B47,'Player Board'!$A$5:$A$304,0)),"")</f>
        <v/>
      </c>
      <c r="D47" s="43"/>
      <c r="E47" s="44"/>
      <c r="F47" s="44"/>
      <c r="G47" s="19" t="str">
        <f aca="false">IFERROR(INDEX('Player Board'!$R$5:$R$304,MATCH(B47,'Player Board'!$A$5:$A$304,0)),"")</f>
        <v/>
      </c>
      <c r="H47" s="19" t="str">
        <f aca="false">IF(E47="","",G47-E47)</f>
        <v/>
      </c>
      <c r="I47" s="43"/>
      <c r="J47" s="18" t="str">
        <f aca="false">IF(B47="","",IF(A47=MAX($A$5:$A$304),"LAST — CLEAR INPUTS TO UNDO",IF(AND(D47&lt;&gt;"",E47&lt;&gt;""),"LOGGED","INCOMPLETE")))</f>
        <v/>
      </c>
      <c r="K47" s="18" t="str">
        <f aca="false">IFERROR(INDEX('Player Board'!$AA$5:$AA$304,MATCH(B47,'Player Board'!$A$5:$A$304,0)),"")</f>
        <v/>
      </c>
    </row>
    <row r="48" customFormat="false" ht="18" hidden="false" customHeight="true" outlineLevel="0" collapsed="false">
      <c r="A48" s="18" t="str">
        <f aca="false">IF(B48="","",ROW()-4)</f>
        <v/>
      </c>
      <c r="B48" s="43"/>
      <c r="C48" s="18" t="str">
        <f aca="false">IFERROR(INDEX('Player Board'!$G$5:$G$304,MATCH(B48,'Player Board'!$A$5:$A$304,0)),"")</f>
        <v/>
      </c>
      <c r="D48" s="43"/>
      <c r="E48" s="44"/>
      <c r="F48" s="44"/>
      <c r="G48" s="19" t="str">
        <f aca="false">IFERROR(INDEX('Player Board'!$R$5:$R$304,MATCH(B48,'Player Board'!$A$5:$A$304,0)),"")</f>
        <v/>
      </c>
      <c r="H48" s="19" t="str">
        <f aca="false">IF(E48="","",G48-E48)</f>
        <v/>
      </c>
      <c r="I48" s="43"/>
      <c r="J48" s="18" t="str">
        <f aca="false">IF(B48="","",IF(A48=MAX($A$5:$A$304),"LAST — CLEAR INPUTS TO UNDO",IF(AND(D48&lt;&gt;"",E48&lt;&gt;""),"LOGGED","INCOMPLETE")))</f>
        <v/>
      </c>
      <c r="K48" s="18" t="str">
        <f aca="false">IFERROR(INDEX('Player Board'!$AA$5:$AA$304,MATCH(B48,'Player Board'!$A$5:$A$304,0)),"")</f>
        <v/>
      </c>
    </row>
    <row r="49" customFormat="false" ht="18" hidden="false" customHeight="true" outlineLevel="0" collapsed="false">
      <c r="A49" s="18" t="str">
        <f aca="false">IF(B49="","",ROW()-4)</f>
        <v/>
      </c>
      <c r="B49" s="43"/>
      <c r="C49" s="18" t="str">
        <f aca="false">IFERROR(INDEX('Player Board'!$G$5:$G$304,MATCH(B49,'Player Board'!$A$5:$A$304,0)),"")</f>
        <v/>
      </c>
      <c r="D49" s="43"/>
      <c r="E49" s="44"/>
      <c r="F49" s="44"/>
      <c r="G49" s="19" t="str">
        <f aca="false">IFERROR(INDEX('Player Board'!$R$5:$R$304,MATCH(B49,'Player Board'!$A$5:$A$304,0)),"")</f>
        <v/>
      </c>
      <c r="H49" s="19" t="str">
        <f aca="false">IF(E49="","",G49-E49)</f>
        <v/>
      </c>
      <c r="I49" s="43"/>
      <c r="J49" s="18" t="str">
        <f aca="false">IF(B49="","",IF(A49=MAX($A$5:$A$304),"LAST — CLEAR INPUTS TO UNDO",IF(AND(D49&lt;&gt;"",E49&lt;&gt;""),"LOGGED","INCOMPLETE")))</f>
        <v/>
      </c>
      <c r="K49" s="18" t="str">
        <f aca="false">IFERROR(INDEX('Player Board'!$AA$5:$AA$304,MATCH(B49,'Player Board'!$A$5:$A$304,0)),"")</f>
        <v/>
      </c>
    </row>
    <row r="50" customFormat="false" ht="18" hidden="false" customHeight="true" outlineLevel="0" collapsed="false">
      <c r="A50" s="18" t="str">
        <f aca="false">IF(B50="","",ROW()-4)</f>
        <v/>
      </c>
      <c r="B50" s="43"/>
      <c r="C50" s="18" t="str">
        <f aca="false">IFERROR(INDEX('Player Board'!$G$5:$G$304,MATCH(B50,'Player Board'!$A$5:$A$304,0)),"")</f>
        <v/>
      </c>
      <c r="D50" s="43"/>
      <c r="E50" s="44"/>
      <c r="F50" s="44"/>
      <c r="G50" s="19" t="str">
        <f aca="false">IFERROR(INDEX('Player Board'!$R$5:$R$304,MATCH(B50,'Player Board'!$A$5:$A$304,0)),"")</f>
        <v/>
      </c>
      <c r="H50" s="19" t="str">
        <f aca="false">IF(E50="","",G50-E50)</f>
        <v/>
      </c>
      <c r="I50" s="43"/>
      <c r="J50" s="18" t="str">
        <f aca="false">IF(B50="","",IF(A50=MAX($A$5:$A$304),"LAST — CLEAR INPUTS TO UNDO",IF(AND(D50&lt;&gt;"",E50&lt;&gt;""),"LOGGED","INCOMPLETE")))</f>
        <v/>
      </c>
      <c r="K50" s="18" t="str">
        <f aca="false">IFERROR(INDEX('Player Board'!$AA$5:$AA$304,MATCH(B50,'Player Board'!$A$5:$A$304,0)),"")</f>
        <v/>
      </c>
    </row>
    <row r="51" customFormat="false" ht="18" hidden="false" customHeight="true" outlineLevel="0" collapsed="false">
      <c r="A51" s="18" t="str">
        <f aca="false">IF(B51="","",ROW()-4)</f>
        <v/>
      </c>
      <c r="B51" s="43"/>
      <c r="C51" s="18" t="str">
        <f aca="false">IFERROR(INDEX('Player Board'!$G$5:$G$304,MATCH(B51,'Player Board'!$A$5:$A$304,0)),"")</f>
        <v/>
      </c>
      <c r="D51" s="43"/>
      <c r="E51" s="44"/>
      <c r="F51" s="44"/>
      <c r="G51" s="19" t="str">
        <f aca="false">IFERROR(INDEX('Player Board'!$R$5:$R$304,MATCH(B51,'Player Board'!$A$5:$A$304,0)),"")</f>
        <v/>
      </c>
      <c r="H51" s="19" t="str">
        <f aca="false">IF(E51="","",G51-E51)</f>
        <v/>
      </c>
      <c r="I51" s="43"/>
      <c r="J51" s="18" t="str">
        <f aca="false">IF(B51="","",IF(A51=MAX($A$5:$A$304),"LAST — CLEAR INPUTS TO UNDO",IF(AND(D51&lt;&gt;"",E51&lt;&gt;""),"LOGGED","INCOMPLETE")))</f>
        <v/>
      </c>
      <c r="K51" s="18" t="str">
        <f aca="false">IFERROR(INDEX('Player Board'!$AA$5:$AA$304,MATCH(B51,'Player Board'!$A$5:$A$304,0)),"")</f>
        <v/>
      </c>
    </row>
    <row r="52" customFormat="false" ht="18" hidden="false" customHeight="true" outlineLevel="0" collapsed="false">
      <c r="A52" s="18" t="str">
        <f aca="false">IF(B52="","",ROW()-4)</f>
        <v/>
      </c>
      <c r="B52" s="43"/>
      <c r="C52" s="18" t="str">
        <f aca="false">IFERROR(INDEX('Player Board'!$G$5:$G$304,MATCH(B52,'Player Board'!$A$5:$A$304,0)),"")</f>
        <v/>
      </c>
      <c r="D52" s="43"/>
      <c r="E52" s="44"/>
      <c r="F52" s="44"/>
      <c r="G52" s="19" t="str">
        <f aca="false">IFERROR(INDEX('Player Board'!$R$5:$R$304,MATCH(B52,'Player Board'!$A$5:$A$304,0)),"")</f>
        <v/>
      </c>
      <c r="H52" s="19" t="str">
        <f aca="false">IF(E52="","",G52-E52)</f>
        <v/>
      </c>
      <c r="I52" s="43"/>
      <c r="J52" s="18" t="str">
        <f aca="false">IF(B52="","",IF(A52=MAX($A$5:$A$304),"LAST — CLEAR INPUTS TO UNDO",IF(AND(D52&lt;&gt;"",E52&lt;&gt;""),"LOGGED","INCOMPLETE")))</f>
        <v/>
      </c>
      <c r="K52" s="18" t="str">
        <f aca="false">IFERROR(INDEX('Player Board'!$AA$5:$AA$304,MATCH(B52,'Player Board'!$A$5:$A$304,0)),"")</f>
        <v/>
      </c>
    </row>
    <row r="53" customFormat="false" ht="18" hidden="false" customHeight="true" outlineLevel="0" collapsed="false">
      <c r="A53" s="18" t="str">
        <f aca="false">IF(B53="","",ROW()-4)</f>
        <v/>
      </c>
      <c r="B53" s="43"/>
      <c r="C53" s="18" t="str">
        <f aca="false">IFERROR(INDEX('Player Board'!$G$5:$G$304,MATCH(B53,'Player Board'!$A$5:$A$304,0)),"")</f>
        <v/>
      </c>
      <c r="D53" s="43"/>
      <c r="E53" s="44"/>
      <c r="F53" s="44"/>
      <c r="G53" s="19" t="str">
        <f aca="false">IFERROR(INDEX('Player Board'!$R$5:$R$304,MATCH(B53,'Player Board'!$A$5:$A$304,0)),"")</f>
        <v/>
      </c>
      <c r="H53" s="19" t="str">
        <f aca="false">IF(E53="","",G53-E53)</f>
        <v/>
      </c>
      <c r="I53" s="43"/>
      <c r="J53" s="18" t="str">
        <f aca="false">IF(B53="","",IF(A53=MAX($A$5:$A$304),"LAST — CLEAR INPUTS TO UNDO",IF(AND(D53&lt;&gt;"",E53&lt;&gt;""),"LOGGED","INCOMPLETE")))</f>
        <v/>
      </c>
      <c r="K53" s="18" t="str">
        <f aca="false">IFERROR(INDEX('Player Board'!$AA$5:$AA$304,MATCH(B53,'Player Board'!$A$5:$A$304,0)),"")</f>
        <v/>
      </c>
    </row>
    <row r="54" customFormat="false" ht="18" hidden="false" customHeight="true" outlineLevel="0" collapsed="false">
      <c r="A54" s="18" t="str">
        <f aca="false">IF(B54="","",ROW()-4)</f>
        <v/>
      </c>
      <c r="B54" s="43"/>
      <c r="C54" s="18" t="str">
        <f aca="false">IFERROR(INDEX('Player Board'!$G$5:$G$304,MATCH(B54,'Player Board'!$A$5:$A$304,0)),"")</f>
        <v/>
      </c>
      <c r="D54" s="43"/>
      <c r="E54" s="44"/>
      <c r="F54" s="44"/>
      <c r="G54" s="19" t="str">
        <f aca="false">IFERROR(INDEX('Player Board'!$R$5:$R$304,MATCH(B54,'Player Board'!$A$5:$A$304,0)),"")</f>
        <v/>
      </c>
      <c r="H54" s="19" t="str">
        <f aca="false">IF(E54="","",G54-E54)</f>
        <v/>
      </c>
      <c r="I54" s="43"/>
      <c r="J54" s="18" t="str">
        <f aca="false">IF(B54="","",IF(A54=MAX($A$5:$A$304),"LAST — CLEAR INPUTS TO UNDO",IF(AND(D54&lt;&gt;"",E54&lt;&gt;""),"LOGGED","INCOMPLETE")))</f>
        <v/>
      </c>
      <c r="K54" s="18" t="str">
        <f aca="false">IFERROR(INDEX('Player Board'!$AA$5:$AA$304,MATCH(B54,'Player Board'!$A$5:$A$304,0)),"")</f>
        <v/>
      </c>
    </row>
    <row r="55" customFormat="false" ht="18" hidden="false" customHeight="true" outlineLevel="0" collapsed="false">
      <c r="A55" s="18" t="str">
        <f aca="false">IF(B55="","",ROW()-4)</f>
        <v/>
      </c>
      <c r="B55" s="43"/>
      <c r="C55" s="18" t="str">
        <f aca="false">IFERROR(INDEX('Player Board'!$G$5:$G$304,MATCH(B55,'Player Board'!$A$5:$A$304,0)),"")</f>
        <v/>
      </c>
      <c r="D55" s="43"/>
      <c r="E55" s="44"/>
      <c r="F55" s="44"/>
      <c r="G55" s="19" t="str">
        <f aca="false">IFERROR(INDEX('Player Board'!$R$5:$R$304,MATCH(B55,'Player Board'!$A$5:$A$304,0)),"")</f>
        <v/>
      </c>
      <c r="H55" s="19" t="str">
        <f aca="false">IF(E55="","",G55-E55)</f>
        <v/>
      </c>
      <c r="I55" s="43"/>
      <c r="J55" s="18" t="str">
        <f aca="false">IF(B55="","",IF(A55=MAX($A$5:$A$304),"LAST — CLEAR INPUTS TO UNDO",IF(AND(D55&lt;&gt;"",E55&lt;&gt;""),"LOGGED","INCOMPLETE")))</f>
        <v/>
      </c>
      <c r="K55" s="18" t="str">
        <f aca="false">IFERROR(INDEX('Player Board'!$AA$5:$AA$304,MATCH(B55,'Player Board'!$A$5:$A$304,0)),"")</f>
        <v/>
      </c>
    </row>
    <row r="56" customFormat="false" ht="18" hidden="false" customHeight="true" outlineLevel="0" collapsed="false">
      <c r="A56" s="18" t="str">
        <f aca="false">IF(B56="","",ROW()-4)</f>
        <v/>
      </c>
      <c r="B56" s="43"/>
      <c r="C56" s="18" t="str">
        <f aca="false">IFERROR(INDEX('Player Board'!$G$5:$G$304,MATCH(B56,'Player Board'!$A$5:$A$304,0)),"")</f>
        <v/>
      </c>
      <c r="D56" s="43"/>
      <c r="E56" s="44"/>
      <c r="F56" s="44"/>
      <c r="G56" s="19" t="str">
        <f aca="false">IFERROR(INDEX('Player Board'!$R$5:$R$304,MATCH(B56,'Player Board'!$A$5:$A$304,0)),"")</f>
        <v/>
      </c>
      <c r="H56" s="19" t="str">
        <f aca="false">IF(E56="","",G56-E56)</f>
        <v/>
      </c>
      <c r="I56" s="43"/>
      <c r="J56" s="18" t="str">
        <f aca="false">IF(B56="","",IF(A56=MAX($A$5:$A$304),"LAST — CLEAR INPUTS TO UNDO",IF(AND(D56&lt;&gt;"",E56&lt;&gt;""),"LOGGED","INCOMPLETE")))</f>
        <v/>
      </c>
      <c r="K56" s="18" t="str">
        <f aca="false">IFERROR(INDEX('Player Board'!$AA$5:$AA$304,MATCH(B56,'Player Board'!$A$5:$A$304,0)),"")</f>
        <v/>
      </c>
    </row>
    <row r="57" customFormat="false" ht="18" hidden="false" customHeight="true" outlineLevel="0" collapsed="false">
      <c r="A57" s="18" t="str">
        <f aca="false">IF(B57="","",ROW()-4)</f>
        <v/>
      </c>
      <c r="B57" s="43"/>
      <c r="C57" s="18" t="str">
        <f aca="false">IFERROR(INDEX('Player Board'!$G$5:$G$304,MATCH(B57,'Player Board'!$A$5:$A$304,0)),"")</f>
        <v/>
      </c>
      <c r="D57" s="43"/>
      <c r="E57" s="44"/>
      <c r="F57" s="44"/>
      <c r="G57" s="19" t="str">
        <f aca="false">IFERROR(INDEX('Player Board'!$R$5:$R$304,MATCH(B57,'Player Board'!$A$5:$A$304,0)),"")</f>
        <v/>
      </c>
      <c r="H57" s="19" t="str">
        <f aca="false">IF(E57="","",G57-E57)</f>
        <v/>
      </c>
      <c r="I57" s="43"/>
      <c r="J57" s="18" t="str">
        <f aca="false">IF(B57="","",IF(A57=MAX($A$5:$A$304),"LAST — CLEAR INPUTS TO UNDO",IF(AND(D57&lt;&gt;"",E57&lt;&gt;""),"LOGGED","INCOMPLETE")))</f>
        <v/>
      </c>
      <c r="K57" s="18" t="str">
        <f aca="false">IFERROR(INDEX('Player Board'!$AA$5:$AA$304,MATCH(B57,'Player Board'!$A$5:$A$304,0)),"")</f>
        <v/>
      </c>
    </row>
    <row r="58" customFormat="false" ht="18" hidden="false" customHeight="true" outlineLevel="0" collapsed="false">
      <c r="A58" s="18" t="str">
        <f aca="false">IF(B58="","",ROW()-4)</f>
        <v/>
      </c>
      <c r="B58" s="43"/>
      <c r="C58" s="18" t="str">
        <f aca="false">IFERROR(INDEX('Player Board'!$G$5:$G$304,MATCH(B58,'Player Board'!$A$5:$A$304,0)),"")</f>
        <v/>
      </c>
      <c r="D58" s="43"/>
      <c r="E58" s="44"/>
      <c r="F58" s="44"/>
      <c r="G58" s="19" t="str">
        <f aca="false">IFERROR(INDEX('Player Board'!$R$5:$R$304,MATCH(B58,'Player Board'!$A$5:$A$304,0)),"")</f>
        <v/>
      </c>
      <c r="H58" s="19" t="str">
        <f aca="false">IF(E58="","",G58-E58)</f>
        <v/>
      </c>
      <c r="I58" s="43"/>
      <c r="J58" s="18" t="str">
        <f aca="false">IF(B58="","",IF(A58=MAX($A$5:$A$304),"LAST — CLEAR INPUTS TO UNDO",IF(AND(D58&lt;&gt;"",E58&lt;&gt;""),"LOGGED","INCOMPLETE")))</f>
        <v/>
      </c>
      <c r="K58" s="18" t="str">
        <f aca="false">IFERROR(INDEX('Player Board'!$AA$5:$AA$304,MATCH(B58,'Player Board'!$A$5:$A$304,0)),"")</f>
        <v/>
      </c>
    </row>
    <row r="59" customFormat="false" ht="18" hidden="false" customHeight="true" outlineLevel="0" collapsed="false">
      <c r="A59" s="18" t="str">
        <f aca="false">IF(B59="","",ROW()-4)</f>
        <v/>
      </c>
      <c r="B59" s="43"/>
      <c r="C59" s="18" t="str">
        <f aca="false">IFERROR(INDEX('Player Board'!$G$5:$G$304,MATCH(B59,'Player Board'!$A$5:$A$304,0)),"")</f>
        <v/>
      </c>
      <c r="D59" s="43"/>
      <c r="E59" s="44"/>
      <c r="F59" s="44"/>
      <c r="G59" s="19" t="str">
        <f aca="false">IFERROR(INDEX('Player Board'!$R$5:$R$304,MATCH(B59,'Player Board'!$A$5:$A$304,0)),"")</f>
        <v/>
      </c>
      <c r="H59" s="19" t="str">
        <f aca="false">IF(E59="","",G59-E59)</f>
        <v/>
      </c>
      <c r="I59" s="43"/>
      <c r="J59" s="18" t="str">
        <f aca="false">IF(B59="","",IF(A59=MAX($A$5:$A$304),"LAST — CLEAR INPUTS TO UNDO",IF(AND(D59&lt;&gt;"",E59&lt;&gt;""),"LOGGED","INCOMPLETE")))</f>
        <v/>
      </c>
      <c r="K59" s="18" t="str">
        <f aca="false">IFERROR(INDEX('Player Board'!$AA$5:$AA$304,MATCH(B59,'Player Board'!$A$5:$A$304,0)),"")</f>
        <v/>
      </c>
    </row>
    <row r="60" customFormat="false" ht="18" hidden="false" customHeight="true" outlineLevel="0" collapsed="false">
      <c r="A60" s="18" t="str">
        <f aca="false">IF(B60="","",ROW()-4)</f>
        <v/>
      </c>
      <c r="B60" s="43"/>
      <c r="C60" s="18" t="str">
        <f aca="false">IFERROR(INDEX('Player Board'!$G$5:$G$304,MATCH(B60,'Player Board'!$A$5:$A$304,0)),"")</f>
        <v/>
      </c>
      <c r="D60" s="43"/>
      <c r="E60" s="44"/>
      <c r="F60" s="44"/>
      <c r="G60" s="19" t="str">
        <f aca="false">IFERROR(INDEX('Player Board'!$R$5:$R$304,MATCH(B60,'Player Board'!$A$5:$A$304,0)),"")</f>
        <v/>
      </c>
      <c r="H60" s="19" t="str">
        <f aca="false">IF(E60="","",G60-E60)</f>
        <v/>
      </c>
      <c r="I60" s="43"/>
      <c r="J60" s="18" t="str">
        <f aca="false">IF(B60="","",IF(A60=MAX($A$5:$A$304),"LAST — CLEAR INPUTS TO UNDO",IF(AND(D60&lt;&gt;"",E60&lt;&gt;""),"LOGGED","INCOMPLETE")))</f>
        <v/>
      </c>
      <c r="K60" s="18" t="str">
        <f aca="false">IFERROR(INDEX('Player Board'!$AA$5:$AA$304,MATCH(B60,'Player Board'!$A$5:$A$304,0)),"")</f>
        <v/>
      </c>
    </row>
    <row r="61" customFormat="false" ht="18" hidden="false" customHeight="true" outlineLevel="0" collapsed="false">
      <c r="A61" s="18" t="str">
        <f aca="false">IF(B61="","",ROW()-4)</f>
        <v/>
      </c>
      <c r="B61" s="43"/>
      <c r="C61" s="18" t="str">
        <f aca="false">IFERROR(INDEX('Player Board'!$G$5:$G$304,MATCH(B61,'Player Board'!$A$5:$A$304,0)),"")</f>
        <v/>
      </c>
      <c r="D61" s="43"/>
      <c r="E61" s="44"/>
      <c r="F61" s="44"/>
      <c r="G61" s="19" t="str">
        <f aca="false">IFERROR(INDEX('Player Board'!$R$5:$R$304,MATCH(B61,'Player Board'!$A$5:$A$304,0)),"")</f>
        <v/>
      </c>
      <c r="H61" s="19" t="str">
        <f aca="false">IF(E61="","",G61-E61)</f>
        <v/>
      </c>
      <c r="I61" s="43"/>
      <c r="J61" s="18" t="str">
        <f aca="false">IF(B61="","",IF(A61=MAX($A$5:$A$304),"LAST — CLEAR INPUTS TO UNDO",IF(AND(D61&lt;&gt;"",E61&lt;&gt;""),"LOGGED","INCOMPLETE")))</f>
        <v/>
      </c>
      <c r="K61" s="18" t="str">
        <f aca="false">IFERROR(INDEX('Player Board'!$AA$5:$AA$304,MATCH(B61,'Player Board'!$A$5:$A$304,0)),"")</f>
        <v/>
      </c>
    </row>
    <row r="62" customFormat="false" ht="18" hidden="false" customHeight="true" outlineLevel="0" collapsed="false">
      <c r="A62" s="18" t="str">
        <f aca="false">IF(B62="","",ROW()-4)</f>
        <v/>
      </c>
      <c r="B62" s="43"/>
      <c r="C62" s="18" t="str">
        <f aca="false">IFERROR(INDEX('Player Board'!$G$5:$G$304,MATCH(B62,'Player Board'!$A$5:$A$304,0)),"")</f>
        <v/>
      </c>
      <c r="D62" s="43"/>
      <c r="E62" s="44"/>
      <c r="F62" s="44"/>
      <c r="G62" s="19" t="str">
        <f aca="false">IFERROR(INDEX('Player Board'!$R$5:$R$304,MATCH(B62,'Player Board'!$A$5:$A$304,0)),"")</f>
        <v/>
      </c>
      <c r="H62" s="19" t="str">
        <f aca="false">IF(E62="","",G62-E62)</f>
        <v/>
      </c>
      <c r="I62" s="43"/>
      <c r="J62" s="18" t="str">
        <f aca="false">IF(B62="","",IF(A62=MAX($A$5:$A$304),"LAST — CLEAR INPUTS TO UNDO",IF(AND(D62&lt;&gt;"",E62&lt;&gt;""),"LOGGED","INCOMPLETE")))</f>
        <v/>
      </c>
      <c r="K62" s="18" t="str">
        <f aca="false">IFERROR(INDEX('Player Board'!$AA$5:$AA$304,MATCH(B62,'Player Board'!$A$5:$A$304,0)),"")</f>
        <v/>
      </c>
    </row>
    <row r="63" customFormat="false" ht="18" hidden="false" customHeight="true" outlineLevel="0" collapsed="false">
      <c r="A63" s="18" t="str">
        <f aca="false">IF(B63="","",ROW()-4)</f>
        <v/>
      </c>
      <c r="B63" s="43"/>
      <c r="C63" s="18" t="str">
        <f aca="false">IFERROR(INDEX('Player Board'!$G$5:$G$304,MATCH(B63,'Player Board'!$A$5:$A$304,0)),"")</f>
        <v/>
      </c>
      <c r="D63" s="43"/>
      <c r="E63" s="44"/>
      <c r="F63" s="44"/>
      <c r="G63" s="19" t="str">
        <f aca="false">IFERROR(INDEX('Player Board'!$R$5:$R$304,MATCH(B63,'Player Board'!$A$5:$A$304,0)),"")</f>
        <v/>
      </c>
      <c r="H63" s="19" t="str">
        <f aca="false">IF(E63="","",G63-E63)</f>
        <v/>
      </c>
      <c r="I63" s="43"/>
      <c r="J63" s="18" t="str">
        <f aca="false">IF(B63="","",IF(A63=MAX($A$5:$A$304),"LAST — CLEAR INPUTS TO UNDO",IF(AND(D63&lt;&gt;"",E63&lt;&gt;""),"LOGGED","INCOMPLETE")))</f>
        <v/>
      </c>
      <c r="K63" s="18" t="str">
        <f aca="false">IFERROR(INDEX('Player Board'!$AA$5:$AA$304,MATCH(B63,'Player Board'!$A$5:$A$304,0)),"")</f>
        <v/>
      </c>
    </row>
    <row r="64" customFormat="false" ht="18" hidden="false" customHeight="true" outlineLevel="0" collapsed="false">
      <c r="A64" s="18" t="str">
        <f aca="false">IF(B64="","",ROW()-4)</f>
        <v/>
      </c>
      <c r="B64" s="43"/>
      <c r="C64" s="18" t="str">
        <f aca="false">IFERROR(INDEX('Player Board'!$G$5:$G$304,MATCH(B64,'Player Board'!$A$5:$A$304,0)),"")</f>
        <v/>
      </c>
      <c r="D64" s="43"/>
      <c r="E64" s="44"/>
      <c r="F64" s="44"/>
      <c r="G64" s="19" t="str">
        <f aca="false">IFERROR(INDEX('Player Board'!$R$5:$R$304,MATCH(B64,'Player Board'!$A$5:$A$304,0)),"")</f>
        <v/>
      </c>
      <c r="H64" s="19" t="str">
        <f aca="false">IF(E64="","",G64-E64)</f>
        <v/>
      </c>
      <c r="I64" s="43"/>
      <c r="J64" s="18" t="str">
        <f aca="false">IF(B64="","",IF(A64=MAX($A$5:$A$304),"LAST — CLEAR INPUTS TO UNDO",IF(AND(D64&lt;&gt;"",E64&lt;&gt;""),"LOGGED","INCOMPLETE")))</f>
        <v/>
      </c>
      <c r="K64" s="18" t="str">
        <f aca="false">IFERROR(INDEX('Player Board'!$AA$5:$AA$304,MATCH(B64,'Player Board'!$A$5:$A$304,0)),"")</f>
        <v/>
      </c>
    </row>
    <row r="65" customFormat="false" ht="18" hidden="false" customHeight="true" outlineLevel="0" collapsed="false">
      <c r="A65" s="18" t="str">
        <f aca="false">IF(B65="","",ROW()-4)</f>
        <v/>
      </c>
      <c r="B65" s="43"/>
      <c r="C65" s="18" t="str">
        <f aca="false">IFERROR(INDEX('Player Board'!$G$5:$G$304,MATCH(B65,'Player Board'!$A$5:$A$304,0)),"")</f>
        <v/>
      </c>
      <c r="D65" s="43"/>
      <c r="E65" s="44"/>
      <c r="F65" s="44"/>
      <c r="G65" s="19" t="str">
        <f aca="false">IFERROR(INDEX('Player Board'!$R$5:$R$304,MATCH(B65,'Player Board'!$A$5:$A$304,0)),"")</f>
        <v/>
      </c>
      <c r="H65" s="19" t="str">
        <f aca="false">IF(E65="","",G65-E65)</f>
        <v/>
      </c>
      <c r="I65" s="43"/>
      <c r="J65" s="18" t="str">
        <f aca="false">IF(B65="","",IF(A65=MAX($A$5:$A$304),"LAST — CLEAR INPUTS TO UNDO",IF(AND(D65&lt;&gt;"",E65&lt;&gt;""),"LOGGED","INCOMPLETE")))</f>
        <v/>
      </c>
      <c r="K65" s="18" t="str">
        <f aca="false">IFERROR(INDEX('Player Board'!$AA$5:$AA$304,MATCH(B65,'Player Board'!$A$5:$A$304,0)),"")</f>
        <v/>
      </c>
    </row>
    <row r="66" customFormat="false" ht="18" hidden="false" customHeight="true" outlineLevel="0" collapsed="false">
      <c r="A66" s="18" t="str">
        <f aca="false">IF(B66="","",ROW()-4)</f>
        <v/>
      </c>
      <c r="B66" s="43"/>
      <c r="C66" s="18" t="str">
        <f aca="false">IFERROR(INDEX('Player Board'!$G$5:$G$304,MATCH(B66,'Player Board'!$A$5:$A$304,0)),"")</f>
        <v/>
      </c>
      <c r="D66" s="43"/>
      <c r="E66" s="44"/>
      <c r="F66" s="44"/>
      <c r="G66" s="19" t="str">
        <f aca="false">IFERROR(INDEX('Player Board'!$R$5:$R$304,MATCH(B66,'Player Board'!$A$5:$A$304,0)),"")</f>
        <v/>
      </c>
      <c r="H66" s="19" t="str">
        <f aca="false">IF(E66="","",G66-E66)</f>
        <v/>
      </c>
      <c r="I66" s="43"/>
      <c r="J66" s="18" t="str">
        <f aca="false">IF(B66="","",IF(A66=MAX($A$5:$A$304),"LAST — CLEAR INPUTS TO UNDO",IF(AND(D66&lt;&gt;"",E66&lt;&gt;""),"LOGGED","INCOMPLETE")))</f>
        <v/>
      </c>
      <c r="K66" s="18" t="str">
        <f aca="false">IFERROR(INDEX('Player Board'!$AA$5:$AA$304,MATCH(B66,'Player Board'!$A$5:$A$304,0)),"")</f>
        <v/>
      </c>
    </row>
    <row r="67" customFormat="false" ht="18" hidden="false" customHeight="true" outlineLevel="0" collapsed="false">
      <c r="A67" s="18" t="str">
        <f aca="false">IF(B67="","",ROW()-4)</f>
        <v/>
      </c>
      <c r="B67" s="43"/>
      <c r="C67" s="18" t="str">
        <f aca="false">IFERROR(INDEX('Player Board'!$G$5:$G$304,MATCH(B67,'Player Board'!$A$5:$A$304,0)),"")</f>
        <v/>
      </c>
      <c r="D67" s="43"/>
      <c r="E67" s="44"/>
      <c r="F67" s="44"/>
      <c r="G67" s="19" t="str">
        <f aca="false">IFERROR(INDEX('Player Board'!$R$5:$R$304,MATCH(B67,'Player Board'!$A$5:$A$304,0)),"")</f>
        <v/>
      </c>
      <c r="H67" s="19" t="str">
        <f aca="false">IF(E67="","",G67-E67)</f>
        <v/>
      </c>
      <c r="I67" s="43"/>
      <c r="J67" s="18" t="str">
        <f aca="false">IF(B67="","",IF(A67=MAX($A$5:$A$304),"LAST — CLEAR INPUTS TO UNDO",IF(AND(D67&lt;&gt;"",E67&lt;&gt;""),"LOGGED","INCOMPLETE")))</f>
        <v/>
      </c>
      <c r="K67" s="18" t="str">
        <f aca="false">IFERROR(INDEX('Player Board'!$AA$5:$AA$304,MATCH(B67,'Player Board'!$A$5:$A$304,0)),"")</f>
        <v/>
      </c>
    </row>
    <row r="68" customFormat="false" ht="18" hidden="false" customHeight="true" outlineLevel="0" collapsed="false">
      <c r="A68" s="18" t="str">
        <f aca="false">IF(B68="","",ROW()-4)</f>
        <v/>
      </c>
      <c r="B68" s="43"/>
      <c r="C68" s="18" t="str">
        <f aca="false">IFERROR(INDEX('Player Board'!$G$5:$G$304,MATCH(B68,'Player Board'!$A$5:$A$304,0)),"")</f>
        <v/>
      </c>
      <c r="D68" s="43"/>
      <c r="E68" s="44"/>
      <c r="F68" s="44"/>
      <c r="G68" s="19" t="str">
        <f aca="false">IFERROR(INDEX('Player Board'!$R$5:$R$304,MATCH(B68,'Player Board'!$A$5:$A$304,0)),"")</f>
        <v/>
      </c>
      <c r="H68" s="19" t="str">
        <f aca="false">IF(E68="","",G68-E68)</f>
        <v/>
      </c>
      <c r="I68" s="43"/>
      <c r="J68" s="18" t="str">
        <f aca="false">IF(B68="","",IF(A68=MAX($A$5:$A$304),"LAST — CLEAR INPUTS TO UNDO",IF(AND(D68&lt;&gt;"",E68&lt;&gt;""),"LOGGED","INCOMPLETE")))</f>
        <v/>
      </c>
      <c r="K68" s="18" t="str">
        <f aca="false">IFERROR(INDEX('Player Board'!$AA$5:$AA$304,MATCH(B68,'Player Board'!$A$5:$A$304,0)),"")</f>
        <v/>
      </c>
    </row>
    <row r="69" customFormat="false" ht="18" hidden="false" customHeight="true" outlineLevel="0" collapsed="false">
      <c r="A69" s="18" t="str">
        <f aca="false">IF(B69="","",ROW()-4)</f>
        <v/>
      </c>
      <c r="B69" s="43"/>
      <c r="C69" s="18" t="str">
        <f aca="false">IFERROR(INDEX('Player Board'!$G$5:$G$304,MATCH(B69,'Player Board'!$A$5:$A$304,0)),"")</f>
        <v/>
      </c>
      <c r="D69" s="43"/>
      <c r="E69" s="44"/>
      <c r="F69" s="44"/>
      <c r="G69" s="19" t="str">
        <f aca="false">IFERROR(INDEX('Player Board'!$R$5:$R$304,MATCH(B69,'Player Board'!$A$5:$A$304,0)),"")</f>
        <v/>
      </c>
      <c r="H69" s="19" t="str">
        <f aca="false">IF(E69="","",G69-E69)</f>
        <v/>
      </c>
      <c r="I69" s="43"/>
      <c r="J69" s="18" t="str">
        <f aca="false">IF(B69="","",IF(A69=MAX($A$5:$A$304),"LAST — CLEAR INPUTS TO UNDO",IF(AND(D69&lt;&gt;"",E69&lt;&gt;""),"LOGGED","INCOMPLETE")))</f>
        <v/>
      </c>
      <c r="K69" s="18" t="str">
        <f aca="false">IFERROR(INDEX('Player Board'!$AA$5:$AA$304,MATCH(B69,'Player Board'!$A$5:$A$304,0)),"")</f>
        <v/>
      </c>
    </row>
    <row r="70" customFormat="false" ht="18" hidden="false" customHeight="true" outlineLevel="0" collapsed="false">
      <c r="A70" s="18" t="str">
        <f aca="false">IF(B70="","",ROW()-4)</f>
        <v/>
      </c>
      <c r="B70" s="43"/>
      <c r="C70" s="18" t="str">
        <f aca="false">IFERROR(INDEX('Player Board'!$G$5:$G$304,MATCH(B70,'Player Board'!$A$5:$A$304,0)),"")</f>
        <v/>
      </c>
      <c r="D70" s="43"/>
      <c r="E70" s="44"/>
      <c r="F70" s="44"/>
      <c r="G70" s="19" t="str">
        <f aca="false">IFERROR(INDEX('Player Board'!$R$5:$R$304,MATCH(B70,'Player Board'!$A$5:$A$304,0)),"")</f>
        <v/>
      </c>
      <c r="H70" s="19" t="str">
        <f aca="false">IF(E70="","",G70-E70)</f>
        <v/>
      </c>
      <c r="I70" s="43"/>
      <c r="J70" s="18" t="str">
        <f aca="false">IF(B70="","",IF(A70=MAX($A$5:$A$304),"LAST — CLEAR INPUTS TO UNDO",IF(AND(D70&lt;&gt;"",E70&lt;&gt;""),"LOGGED","INCOMPLETE")))</f>
        <v/>
      </c>
      <c r="K70" s="18" t="str">
        <f aca="false">IFERROR(INDEX('Player Board'!$AA$5:$AA$304,MATCH(B70,'Player Board'!$A$5:$A$304,0)),"")</f>
        <v/>
      </c>
    </row>
    <row r="71" customFormat="false" ht="18" hidden="false" customHeight="true" outlineLevel="0" collapsed="false">
      <c r="A71" s="18" t="str">
        <f aca="false">IF(B71="","",ROW()-4)</f>
        <v/>
      </c>
      <c r="B71" s="43"/>
      <c r="C71" s="18" t="str">
        <f aca="false">IFERROR(INDEX('Player Board'!$G$5:$G$304,MATCH(B71,'Player Board'!$A$5:$A$304,0)),"")</f>
        <v/>
      </c>
      <c r="D71" s="43"/>
      <c r="E71" s="44"/>
      <c r="F71" s="44"/>
      <c r="G71" s="19" t="str">
        <f aca="false">IFERROR(INDEX('Player Board'!$R$5:$R$304,MATCH(B71,'Player Board'!$A$5:$A$304,0)),"")</f>
        <v/>
      </c>
      <c r="H71" s="19" t="str">
        <f aca="false">IF(E71="","",G71-E71)</f>
        <v/>
      </c>
      <c r="I71" s="43"/>
      <c r="J71" s="18" t="str">
        <f aca="false">IF(B71="","",IF(A71=MAX($A$5:$A$304),"LAST — CLEAR INPUTS TO UNDO",IF(AND(D71&lt;&gt;"",E71&lt;&gt;""),"LOGGED","INCOMPLETE")))</f>
        <v/>
      </c>
      <c r="K71" s="18" t="str">
        <f aca="false">IFERROR(INDEX('Player Board'!$AA$5:$AA$304,MATCH(B71,'Player Board'!$A$5:$A$304,0)),"")</f>
        <v/>
      </c>
    </row>
    <row r="72" customFormat="false" ht="18" hidden="false" customHeight="true" outlineLevel="0" collapsed="false">
      <c r="A72" s="18" t="str">
        <f aca="false">IF(B72="","",ROW()-4)</f>
        <v/>
      </c>
      <c r="B72" s="43"/>
      <c r="C72" s="18" t="str">
        <f aca="false">IFERROR(INDEX('Player Board'!$G$5:$G$304,MATCH(B72,'Player Board'!$A$5:$A$304,0)),"")</f>
        <v/>
      </c>
      <c r="D72" s="43"/>
      <c r="E72" s="44"/>
      <c r="F72" s="44"/>
      <c r="G72" s="19" t="str">
        <f aca="false">IFERROR(INDEX('Player Board'!$R$5:$R$304,MATCH(B72,'Player Board'!$A$5:$A$304,0)),"")</f>
        <v/>
      </c>
      <c r="H72" s="19" t="str">
        <f aca="false">IF(E72="","",G72-E72)</f>
        <v/>
      </c>
      <c r="I72" s="43"/>
      <c r="J72" s="18" t="str">
        <f aca="false">IF(B72="","",IF(A72=MAX($A$5:$A$304),"LAST — CLEAR INPUTS TO UNDO",IF(AND(D72&lt;&gt;"",E72&lt;&gt;""),"LOGGED","INCOMPLETE")))</f>
        <v/>
      </c>
      <c r="K72" s="18" t="str">
        <f aca="false">IFERROR(INDEX('Player Board'!$AA$5:$AA$304,MATCH(B72,'Player Board'!$A$5:$A$304,0)),"")</f>
        <v/>
      </c>
    </row>
    <row r="73" customFormat="false" ht="18" hidden="false" customHeight="true" outlineLevel="0" collapsed="false">
      <c r="A73" s="18" t="str">
        <f aca="false">IF(B73="","",ROW()-4)</f>
        <v/>
      </c>
      <c r="B73" s="43"/>
      <c r="C73" s="18" t="str">
        <f aca="false">IFERROR(INDEX('Player Board'!$G$5:$G$304,MATCH(B73,'Player Board'!$A$5:$A$304,0)),"")</f>
        <v/>
      </c>
      <c r="D73" s="43"/>
      <c r="E73" s="44"/>
      <c r="F73" s="44"/>
      <c r="G73" s="19" t="str">
        <f aca="false">IFERROR(INDEX('Player Board'!$R$5:$R$304,MATCH(B73,'Player Board'!$A$5:$A$304,0)),"")</f>
        <v/>
      </c>
      <c r="H73" s="19" t="str">
        <f aca="false">IF(E73="","",G73-E73)</f>
        <v/>
      </c>
      <c r="I73" s="43"/>
      <c r="J73" s="18" t="str">
        <f aca="false">IF(B73="","",IF(A73=MAX($A$5:$A$304),"LAST — CLEAR INPUTS TO UNDO",IF(AND(D73&lt;&gt;"",E73&lt;&gt;""),"LOGGED","INCOMPLETE")))</f>
        <v/>
      </c>
      <c r="K73" s="18" t="str">
        <f aca="false">IFERROR(INDEX('Player Board'!$AA$5:$AA$304,MATCH(B73,'Player Board'!$A$5:$A$304,0)),"")</f>
        <v/>
      </c>
    </row>
    <row r="74" customFormat="false" ht="18" hidden="false" customHeight="true" outlineLevel="0" collapsed="false">
      <c r="A74" s="18" t="str">
        <f aca="false">IF(B74="","",ROW()-4)</f>
        <v/>
      </c>
      <c r="B74" s="43"/>
      <c r="C74" s="18" t="str">
        <f aca="false">IFERROR(INDEX('Player Board'!$G$5:$G$304,MATCH(B74,'Player Board'!$A$5:$A$304,0)),"")</f>
        <v/>
      </c>
      <c r="D74" s="43"/>
      <c r="E74" s="44"/>
      <c r="F74" s="44"/>
      <c r="G74" s="19" t="str">
        <f aca="false">IFERROR(INDEX('Player Board'!$R$5:$R$304,MATCH(B74,'Player Board'!$A$5:$A$304,0)),"")</f>
        <v/>
      </c>
      <c r="H74" s="19" t="str">
        <f aca="false">IF(E74="","",G74-E74)</f>
        <v/>
      </c>
      <c r="I74" s="43"/>
      <c r="J74" s="18" t="str">
        <f aca="false">IF(B74="","",IF(A74=MAX($A$5:$A$304),"LAST — CLEAR INPUTS TO UNDO",IF(AND(D74&lt;&gt;"",E74&lt;&gt;""),"LOGGED","INCOMPLETE")))</f>
        <v/>
      </c>
      <c r="K74" s="18" t="str">
        <f aca="false">IFERROR(INDEX('Player Board'!$AA$5:$AA$304,MATCH(B74,'Player Board'!$A$5:$A$304,0)),"")</f>
        <v/>
      </c>
    </row>
    <row r="75" customFormat="false" ht="18" hidden="false" customHeight="true" outlineLevel="0" collapsed="false">
      <c r="A75" s="18" t="str">
        <f aca="false">IF(B75="","",ROW()-4)</f>
        <v/>
      </c>
      <c r="B75" s="43"/>
      <c r="C75" s="18" t="str">
        <f aca="false">IFERROR(INDEX('Player Board'!$G$5:$G$304,MATCH(B75,'Player Board'!$A$5:$A$304,0)),"")</f>
        <v/>
      </c>
      <c r="D75" s="43"/>
      <c r="E75" s="44"/>
      <c r="F75" s="44"/>
      <c r="G75" s="19" t="str">
        <f aca="false">IFERROR(INDEX('Player Board'!$R$5:$R$304,MATCH(B75,'Player Board'!$A$5:$A$304,0)),"")</f>
        <v/>
      </c>
      <c r="H75" s="19" t="str">
        <f aca="false">IF(E75="","",G75-E75)</f>
        <v/>
      </c>
      <c r="I75" s="43"/>
      <c r="J75" s="18" t="str">
        <f aca="false">IF(B75="","",IF(A75=MAX($A$5:$A$304),"LAST — CLEAR INPUTS TO UNDO",IF(AND(D75&lt;&gt;"",E75&lt;&gt;""),"LOGGED","INCOMPLETE")))</f>
        <v/>
      </c>
      <c r="K75" s="18" t="str">
        <f aca="false">IFERROR(INDEX('Player Board'!$AA$5:$AA$304,MATCH(B75,'Player Board'!$A$5:$A$304,0)),"")</f>
        <v/>
      </c>
    </row>
    <row r="76" customFormat="false" ht="18" hidden="false" customHeight="true" outlineLevel="0" collapsed="false">
      <c r="A76" s="18" t="str">
        <f aca="false">IF(B76="","",ROW()-4)</f>
        <v/>
      </c>
      <c r="B76" s="43"/>
      <c r="C76" s="18" t="str">
        <f aca="false">IFERROR(INDEX('Player Board'!$G$5:$G$304,MATCH(B76,'Player Board'!$A$5:$A$304,0)),"")</f>
        <v/>
      </c>
      <c r="D76" s="43"/>
      <c r="E76" s="44"/>
      <c r="F76" s="44"/>
      <c r="G76" s="19" t="str">
        <f aca="false">IFERROR(INDEX('Player Board'!$R$5:$R$304,MATCH(B76,'Player Board'!$A$5:$A$304,0)),"")</f>
        <v/>
      </c>
      <c r="H76" s="19" t="str">
        <f aca="false">IF(E76="","",G76-E76)</f>
        <v/>
      </c>
      <c r="I76" s="43"/>
      <c r="J76" s="18" t="str">
        <f aca="false">IF(B76="","",IF(A76=MAX($A$5:$A$304),"LAST — CLEAR INPUTS TO UNDO",IF(AND(D76&lt;&gt;"",E76&lt;&gt;""),"LOGGED","INCOMPLETE")))</f>
        <v/>
      </c>
      <c r="K76" s="18" t="str">
        <f aca="false">IFERROR(INDEX('Player Board'!$AA$5:$AA$304,MATCH(B76,'Player Board'!$A$5:$A$304,0)),"")</f>
        <v/>
      </c>
    </row>
    <row r="77" customFormat="false" ht="18" hidden="false" customHeight="true" outlineLevel="0" collapsed="false">
      <c r="A77" s="18" t="str">
        <f aca="false">IF(B77="","",ROW()-4)</f>
        <v/>
      </c>
      <c r="B77" s="43"/>
      <c r="C77" s="18" t="str">
        <f aca="false">IFERROR(INDEX('Player Board'!$G$5:$G$304,MATCH(B77,'Player Board'!$A$5:$A$304,0)),"")</f>
        <v/>
      </c>
      <c r="D77" s="43"/>
      <c r="E77" s="44"/>
      <c r="F77" s="44"/>
      <c r="G77" s="19" t="str">
        <f aca="false">IFERROR(INDEX('Player Board'!$R$5:$R$304,MATCH(B77,'Player Board'!$A$5:$A$304,0)),"")</f>
        <v/>
      </c>
      <c r="H77" s="19" t="str">
        <f aca="false">IF(E77="","",G77-E77)</f>
        <v/>
      </c>
      <c r="I77" s="43"/>
      <c r="J77" s="18" t="str">
        <f aca="false">IF(B77="","",IF(A77=MAX($A$5:$A$304),"LAST — CLEAR INPUTS TO UNDO",IF(AND(D77&lt;&gt;"",E77&lt;&gt;""),"LOGGED","INCOMPLETE")))</f>
        <v/>
      </c>
      <c r="K77" s="18" t="str">
        <f aca="false">IFERROR(INDEX('Player Board'!$AA$5:$AA$304,MATCH(B77,'Player Board'!$A$5:$A$304,0)),"")</f>
        <v/>
      </c>
    </row>
    <row r="78" customFormat="false" ht="18" hidden="false" customHeight="true" outlineLevel="0" collapsed="false">
      <c r="A78" s="18" t="str">
        <f aca="false">IF(B78="","",ROW()-4)</f>
        <v/>
      </c>
      <c r="B78" s="43"/>
      <c r="C78" s="18" t="str">
        <f aca="false">IFERROR(INDEX('Player Board'!$G$5:$G$304,MATCH(B78,'Player Board'!$A$5:$A$304,0)),"")</f>
        <v/>
      </c>
      <c r="D78" s="43"/>
      <c r="E78" s="44"/>
      <c r="F78" s="44"/>
      <c r="G78" s="19" t="str">
        <f aca="false">IFERROR(INDEX('Player Board'!$R$5:$R$304,MATCH(B78,'Player Board'!$A$5:$A$304,0)),"")</f>
        <v/>
      </c>
      <c r="H78" s="19" t="str">
        <f aca="false">IF(E78="","",G78-E78)</f>
        <v/>
      </c>
      <c r="I78" s="43"/>
      <c r="J78" s="18" t="str">
        <f aca="false">IF(B78="","",IF(A78=MAX($A$5:$A$304),"LAST — CLEAR INPUTS TO UNDO",IF(AND(D78&lt;&gt;"",E78&lt;&gt;""),"LOGGED","INCOMPLETE")))</f>
        <v/>
      </c>
      <c r="K78" s="18" t="str">
        <f aca="false">IFERROR(INDEX('Player Board'!$AA$5:$AA$304,MATCH(B78,'Player Board'!$A$5:$A$304,0)),"")</f>
        <v/>
      </c>
    </row>
    <row r="79" customFormat="false" ht="18" hidden="false" customHeight="true" outlineLevel="0" collapsed="false">
      <c r="A79" s="18" t="str">
        <f aca="false">IF(B79="","",ROW()-4)</f>
        <v/>
      </c>
      <c r="B79" s="43"/>
      <c r="C79" s="18" t="str">
        <f aca="false">IFERROR(INDEX('Player Board'!$G$5:$G$304,MATCH(B79,'Player Board'!$A$5:$A$304,0)),"")</f>
        <v/>
      </c>
      <c r="D79" s="43"/>
      <c r="E79" s="44"/>
      <c r="F79" s="44"/>
      <c r="G79" s="19" t="str">
        <f aca="false">IFERROR(INDEX('Player Board'!$R$5:$R$304,MATCH(B79,'Player Board'!$A$5:$A$304,0)),"")</f>
        <v/>
      </c>
      <c r="H79" s="19" t="str">
        <f aca="false">IF(E79="","",G79-E79)</f>
        <v/>
      </c>
      <c r="I79" s="43"/>
      <c r="J79" s="18" t="str">
        <f aca="false">IF(B79="","",IF(A79=MAX($A$5:$A$304),"LAST — CLEAR INPUTS TO UNDO",IF(AND(D79&lt;&gt;"",E79&lt;&gt;""),"LOGGED","INCOMPLETE")))</f>
        <v/>
      </c>
      <c r="K79" s="18" t="str">
        <f aca="false">IFERROR(INDEX('Player Board'!$AA$5:$AA$304,MATCH(B79,'Player Board'!$A$5:$A$304,0)),"")</f>
        <v/>
      </c>
    </row>
    <row r="80" customFormat="false" ht="18" hidden="false" customHeight="true" outlineLevel="0" collapsed="false">
      <c r="A80" s="18" t="str">
        <f aca="false">IF(B80="","",ROW()-4)</f>
        <v/>
      </c>
      <c r="B80" s="43"/>
      <c r="C80" s="18" t="str">
        <f aca="false">IFERROR(INDEX('Player Board'!$G$5:$G$304,MATCH(B80,'Player Board'!$A$5:$A$304,0)),"")</f>
        <v/>
      </c>
      <c r="D80" s="43"/>
      <c r="E80" s="44"/>
      <c r="F80" s="44"/>
      <c r="G80" s="19" t="str">
        <f aca="false">IFERROR(INDEX('Player Board'!$R$5:$R$304,MATCH(B80,'Player Board'!$A$5:$A$304,0)),"")</f>
        <v/>
      </c>
      <c r="H80" s="19" t="str">
        <f aca="false">IF(E80="","",G80-E80)</f>
        <v/>
      </c>
      <c r="I80" s="43"/>
      <c r="J80" s="18" t="str">
        <f aca="false">IF(B80="","",IF(A80=MAX($A$5:$A$304),"LAST — CLEAR INPUTS TO UNDO",IF(AND(D80&lt;&gt;"",E80&lt;&gt;""),"LOGGED","INCOMPLETE")))</f>
        <v/>
      </c>
      <c r="K80" s="18" t="str">
        <f aca="false">IFERROR(INDEX('Player Board'!$AA$5:$AA$304,MATCH(B80,'Player Board'!$A$5:$A$304,0)),"")</f>
        <v/>
      </c>
    </row>
    <row r="81" customFormat="false" ht="18" hidden="false" customHeight="true" outlineLevel="0" collapsed="false">
      <c r="A81" s="18" t="str">
        <f aca="false">IF(B81="","",ROW()-4)</f>
        <v/>
      </c>
      <c r="B81" s="43"/>
      <c r="C81" s="18" t="str">
        <f aca="false">IFERROR(INDEX('Player Board'!$G$5:$G$304,MATCH(B81,'Player Board'!$A$5:$A$304,0)),"")</f>
        <v/>
      </c>
      <c r="D81" s="43"/>
      <c r="E81" s="44"/>
      <c r="F81" s="44"/>
      <c r="G81" s="19" t="str">
        <f aca="false">IFERROR(INDEX('Player Board'!$R$5:$R$304,MATCH(B81,'Player Board'!$A$5:$A$304,0)),"")</f>
        <v/>
      </c>
      <c r="H81" s="19" t="str">
        <f aca="false">IF(E81="","",G81-E81)</f>
        <v/>
      </c>
      <c r="I81" s="43"/>
      <c r="J81" s="18" t="str">
        <f aca="false">IF(B81="","",IF(A81=MAX($A$5:$A$304),"LAST — CLEAR INPUTS TO UNDO",IF(AND(D81&lt;&gt;"",E81&lt;&gt;""),"LOGGED","INCOMPLETE")))</f>
        <v/>
      </c>
      <c r="K81" s="18" t="str">
        <f aca="false">IFERROR(INDEX('Player Board'!$AA$5:$AA$304,MATCH(B81,'Player Board'!$A$5:$A$304,0)),"")</f>
        <v/>
      </c>
    </row>
    <row r="82" customFormat="false" ht="18" hidden="false" customHeight="true" outlineLevel="0" collapsed="false">
      <c r="A82" s="18" t="str">
        <f aca="false">IF(B82="","",ROW()-4)</f>
        <v/>
      </c>
      <c r="B82" s="43"/>
      <c r="C82" s="18" t="str">
        <f aca="false">IFERROR(INDEX('Player Board'!$G$5:$G$304,MATCH(B82,'Player Board'!$A$5:$A$304,0)),"")</f>
        <v/>
      </c>
      <c r="D82" s="43"/>
      <c r="E82" s="44"/>
      <c r="F82" s="44"/>
      <c r="G82" s="19" t="str">
        <f aca="false">IFERROR(INDEX('Player Board'!$R$5:$R$304,MATCH(B82,'Player Board'!$A$5:$A$304,0)),"")</f>
        <v/>
      </c>
      <c r="H82" s="19" t="str">
        <f aca="false">IF(E82="","",G82-E82)</f>
        <v/>
      </c>
      <c r="I82" s="43"/>
      <c r="J82" s="18" t="str">
        <f aca="false">IF(B82="","",IF(A82=MAX($A$5:$A$304),"LAST — CLEAR INPUTS TO UNDO",IF(AND(D82&lt;&gt;"",E82&lt;&gt;""),"LOGGED","INCOMPLETE")))</f>
        <v/>
      </c>
      <c r="K82" s="18" t="str">
        <f aca="false">IFERROR(INDEX('Player Board'!$AA$5:$AA$304,MATCH(B82,'Player Board'!$A$5:$A$304,0)),"")</f>
        <v/>
      </c>
    </row>
    <row r="83" customFormat="false" ht="18" hidden="false" customHeight="true" outlineLevel="0" collapsed="false">
      <c r="A83" s="18" t="str">
        <f aca="false">IF(B83="","",ROW()-4)</f>
        <v/>
      </c>
      <c r="B83" s="43"/>
      <c r="C83" s="18" t="str">
        <f aca="false">IFERROR(INDEX('Player Board'!$G$5:$G$304,MATCH(B83,'Player Board'!$A$5:$A$304,0)),"")</f>
        <v/>
      </c>
      <c r="D83" s="43"/>
      <c r="E83" s="44"/>
      <c r="F83" s="44"/>
      <c r="G83" s="19" t="str">
        <f aca="false">IFERROR(INDEX('Player Board'!$R$5:$R$304,MATCH(B83,'Player Board'!$A$5:$A$304,0)),"")</f>
        <v/>
      </c>
      <c r="H83" s="19" t="str">
        <f aca="false">IF(E83="","",G83-E83)</f>
        <v/>
      </c>
      <c r="I83" s="43"/>
      <c r="J83" s="18" t="str">
        <f aca="false">IF(B83="","",IF(A83=MAX($A$5:$A$304),"LAST — CLEAR INPUTS TO UNDO",IF(AND(D83&lt;&gt;"",E83&lt;&gt;""),"LOGGED","INCOMPLETE")))</f>
        <v/>
      </c>
      <c r="K83" s="18" t="str">
        <f aca="false">IFERROR(INDEX('Player Board'!$AA$5:$AA$304,MATCH(B83,'Player Board'!$A$5:$A$304,0)),"")</f>
        <v/>
      </c>
    </row>
    <row r="84" customFormat="false" ht="18" hidden="false" customHeight="true" outlineLevel="0" collapsed="false">
      <c r="A84" s="18" t="str">
        <f aca="false">IF(B84="","",ROW()-4)</f>
        <v/>
      </c>
      <c r="B84" s="43"/>
      <c r="C84" s="18" t="str">
        <f aca="false">IFERROR(INDEX('Player Board'!$G$5:$G$304,MATCH(B84,'Player Board'!$A$5:$A$304,0)),"")</f>
        <v/>
      </c>
      <c r="D84" s="43"/>
      <c r="E84" s="44"/>
      <c r="F84" s="44"/>
      <c r="G84" s="19" t="str">
        <f aca="false">IFERROR(INDEX('Player Board'!$R$5:$R$304,MATCH(B84,'Player Board'!$A$5:$A$304,0)),"")</f>
        <v/>
      </c>
      <c r="H84" s="19" t="str">
        <f aca="false">IF(E84="","",G84-E84)</f>
        <v/>
      </c>
      <c r="I84" s="43"/>
      <c r="J84" s="18" t="str">
        <f aca="false">IF(B84="","",IF(A84=MAX($A$5:$A$304),"LAST — CLEAR INPUTS TO UNDO",IF(AND(D84&lt;&gt;"",E84&lt;&gt;""),"LOGGED","INCOMPLETE")))</f>
        <v/>
      </c>
      <c r="K84" s="18" t="str">
        <f aca="false">IFERROR(INDEX('Player Board'!$AA$5:$AA$304,MATCH(B84,'Player Board'!$A$5:$A$304,0)),"")</f>
        <v/>
      </c>
    </row>
    <row r="85" customFormat="false" ht="18" hidden="false" customHeight="true" outlineLevel="0" collapsed="false">
      <c r="A85" s="18" t="str">
        <f aca="false">IF(B85="","",ROW()-4)</f>
        <v/>
      </c>
      <c r="B85" s="43"/>
      <c r="C85" s="18" t="str">
        <f aca="false">IFERROR(INDEX('Player Board'!$G$5:$G$304,MATCH(B85,'Player Board'!$A$5:$A$304,0)),"")</f>
        <v/>
      </c>
      <c r="D85" s="43"/>
      <c r="E85" s="44"/>
      <c r="F85" s="44"/>
      <c r="G85" s="19" t="str">
        <f aca="false">IFERROR(INDEX('Player Board'!$R$5:$R$304,MATCH(B85,'Player Board'!$A$5:$A$304,0)),"")</f>
        <v/>
      </c>
      <c r="H85" s="19" t="str">
        <f aca="false">IF(E85="","",G85-E85)</f>
        <v/>
      </c>
      <c r="I85" s="43"/>
      <c r="J85" s="18" t="str">
        <f aca="false">IF(B85="","",IF(A85=MAX($A$5:$A$304),"LAST — CLEAR INPUTS TO UNDO",IF(AND(D85&lt;&gt;"",E85&lt;&gt;""),"LOGGED","INCOMPLETE")))</f>
        <v/>
      </c>
      <c r="K85" s="18" t="str">
        <f aca="false">IFERROR(INDEX('Player Board'!$AA$5:$AA$304,MATCH(B85,'Player Board'!$A$5:$A$304,0)),"")</f>
        <v/>
      </c>
    </row>
    <row r="86" customFormat="false" ht="18" hidden="false" customHeight="true" outlineLevel="0" collapsed="false">
      <c r="A86" s="18" t="str">
        <f aca="false">IF(B86="","",ROW()-4)</f>
        <v/>
      </c>
      <c r="B86" s="43"/>
      <c r="C86" s="18" t="str">
        <f aca="false">IFERROR(INDEX('Player Board'!$G$5:$G$304,MATCH(B86,'Player Board'!$A$5:$A$304,0)),"")</f>
        <v/>
      </c>
      <c r="D86" s="43"/>
      <c r="E86" s="44"/>
      <c r="F86" s="44"/>
      <c r="G86" s="19" t="str">
        <f aca="false">IFERROR(INDEX('Player Board'!$R$5:$R$304,MATCH(B86,'Player Board'!$A$5:$A$304,0)),"")</f>
        <v/>
      </c>
      <c r="H86" s="19" t="str">
        <f aca="false">IF(E86="","",G86-E86)</f>
        <v/>
      </c>
      <c r="I86" s="43"/>
      <c r="J86" s="18" t="str">
        <f aca="false">IF(B86="","",IF(A86=MAX($A$5:$A$304),"LAST — CLEAR INPUTS TO UNDO",IF(AND(D86&lt;&gt;"",E86&lt;&gt;""),"LOGGED","INCOMPLETE")))</f>
        <v/>
      </c>
      <c r="K86" s="18" t="str">
        <f aca="false">IFERROR(INDEX('Player Board'!$AA$5:$AA$304,MATCH(B86,'Player Board'!$A$5:$A$304,0)),"")</f>
        <v/>
      </c>
    </row>
    <row r="87" customFormat="false" ht="18" hidden="false" customHeight="true" outlineLevel="0" collapsed="false">
      <c r="A87" s="18" t="str">
        <f aca="false">IF(B87="","",ROW()-4)</f>
        <v/>
      </c>
      <c r="B87" s="43"/>
      <c r="C87" s="18" t="str">
        <f aca="false">IFERROR(INDEX('Player Board'!$G$5:$G$304,MATCH(B87,'Player Board'!$A$5:$A$304,0)),"")</f>
        <v/>
      </c>
      <c r="D87" s="43"/>
      <c r="E87" s="44"/>
      <c r="F87" s="44"/>
      <c r="G87" s="19" t="str">
        <f aca="false">IFERROR(INDEX('Player Board'!$R$5:$R$304,MATCH(B87,'Player Board'!$A$5:$A$304,0)),"")</f>
        <v/>
      </c>
      <c r="H87" s="19" t="str">
        <f aca="false">IF(E87="","",G87-E87)</f>
        <v/>
      </c>
      <c r="I87" s="43"/>
      <c r="J87" s="18" t="str">
        <f aca="false">IF(B87="","",IF(A87=MAX($A$5:$A$304),"LAST — CLEAR INPUTS TO UNDO",IF(AND(D87&lt;&gt;"",E87&lt;&gt;""),"LOGGED","INCOMPLETE")))</f>
        <v/>
      </c>
      <c r="K87" s="18" t="str">
        <f aca="false">IFERROR(INDEX('Player Board'!$AA$5:$AA$304,MATCH(B87,'Player Board'!$A$5:$A$304,0)),"")</f>
        <v/>
      </c>
    </row>
    <row r="88" customFormat="false" ht="18" hidden="false" customHeight="true" outlineLevel="0" collapsed="false">
      <c r="A88" s="18" t="str">
        <f aca="false">IF(B88="","",ROW()-4)</f>
        <v/>
      </c>
      <c r="B88" s="43"/>
      <c r="C88" s="18" t="str">
        <f aca="false">IFERROR(INDEX('Player Board'!$G$5:$G$304,MATCH(B88,'Player Board'!$A$5:$A$304,0)),"")</f>
        <v/>
      </c>
      <c r="D88" s="43"/>
      <c r="E88" s="44"/>
      <c r="F88" s="44"/>
      <c r="G88" s="19" t="str">
        <f aca="false">IFERROR(INDEX('Player Board'!$R$5:$R$304,MATCH(B88,'Player Board'!$A$5:$A$304,0)),"")</f>
        <v/>
      </c>
      <c r="H88" s="19" t="str">
        <f aca="false">IF(E88="","",G88-E88)</f>
        <v/>
      </c>
      <c r="I88" s="43"/>
      <c r="J88" s="18" t="str">
        <f aca="false">IF(B88="","",IF(A88=MAX($A$5:$A$304),"LAST — CLEAR INPUTS TO UNDO",IF(AND(D88&lt;&gt;"",E88&lt;&gt;""),"LOGGED","INCOMPLETE")))</f>
        <v/>
      </c>
      <c r="K88" s="18" t="str">
        <f aca="false">IFERROR(INDEX('Player Board'!$AA$5:$AA$304,MATCH(B88,'Player Board'!$A$5:$A$304,0)),"")</f>
        <v/>
      </c>
    </row>
    <row r="89" customFormat="false" ht="18" hidden="false" customHeight="true" outlineLevel="0" collapsed="false">
      <c r="A89" s="18" t="str">
        <f aca="false">IF(B89="","",ROW()-4)</f>
        <v/>
      </c>
      <c r="B89" s="43"/>
      <c r="C89" s="18" t="str">
        <f aca="false">IFERROR(INDEX('Player Board'!$G$5:$G$304,MATCH(B89,'Player Board'!$A$5:$A$304,0)),"")</f>
        <v/>
      </c>
      <c r="D89" s="43"/>
      <c r="E89" s="44"/>
      <c r="F89" s="44"/>
      <c r="G89" s="19" t="str">
        <f aca="false">IFERROR(INDEX('Player Board'!$R$5:$R$304,MATCH(B89,'Player Board'!$A$5:$A$304,0)),"")</f>
        <v/>
      </c>
      <c r="H89" s="19" t="str">
        <f aca="false">IF(E89="","",G89-E89)</f>
        <v/>
      </c>
      <c r="I89" s="43"/>
      <c r="J89" s="18" t="str">
        <f aca="false">IF(B89="","",IF(A89=MAX($A$5:$A$304),"LAST — CLEAR INPUTS TO UNDO",IF(AND(D89&lt;&gt;"",E89&lt;&gt;""),"LOGGED","INCOMPLETE")))</f>
        <v/>
      </c>
      <c r="K89" s="18" t="str">
        <f aca="false">IFERROR(INDEX('Player Board'!$AA$5:$AA$304,MATCH(B89,'Player Board'!$A$5:$A$304,0)),"")</f>
        <v/>
      </c>
    </row>
    <row r="90" customFormat="false" ht="18" hidden="false" customHeight="true" outlineLevel="0" collapsed="false">
      <c r="A90" s="18" t="str">
        <f aca="false">IF(B90="","",ROW()-4)</f>
        <v/>
      </c>
      <c r="B90" s="43"/>
      <c r="C90" s="18" t="str">
        <f aca="false">IFERROR(INDEX('Player Board'!$G$5:$G$304,MATCH(B90,'Player Board'!$A$5:$A$304,0)),"")</f>
        <v/>
      </c>
      <c r="D90" s="43"/>
      <c r="E90" s="44"/>
      <c r="F90" s="44"/>
      <c r="G90" s="19" t="str">
        <f aca="false">IFERROR(INDEX('Player Board'!$R$5:$R$304,MATCH(B90,'Player Board'!$A$5:$A$304,0)),"")</f>
        <v/>
      </c>
      <c r="H90" s="19" t="str">
        <f aca="false">IF(E90="","",G90-E90)</f>
        <v/>
      </c>
      <c r="I90" s="43"/>
      <c r="J90" s="18" t="str">
        <f aca="false">IF(B90="","",IF(A90=MAX($A$5:$A$304),"LAST — CLEAR INPUTS TO UNDO",IF(AND(D90&lt;&gt;"",E90&lt;&gt;""),"LOGGED","INCOMPLETE")))</f>
        <v/>
      </c>
      <c r="K90" s="18" t="str">
        <f aca="false">IFERROR(INDEX('Player Board'!$AA$5:$AA$304,MATCH(B90,'Player Board'!$A$5:$A$304,0)),"")</f>
        <v/>
      </c>
    </row>
    <row r="91" customFormat="false" ht="18" hidden="false" customHeight="true" outlineLevel="0" collapsed="false">
      <c r="A91" s="18" t="str">
        <f aca="false">IF(B91="","",ROW()-4)</f>
        <v/>
      </c>
      <c r="B91" s="43"/>
      <c r="C91" s="18" t="str">
        <f aca="false">IFERROR(INDEX('Player Board'!$G$5:$G$304,MATCH(B91,'Player Board'!$A$5:$A$304,0)),"")</f>
        <v/>
      </c>
      <c r="D91" s="43"/>
      <c r="E91" s="44"/>
      <c r="F91" s="44"/>
      <c r="G91" s="19" t="str">
        <f aca="false">IFERROR(INDEX('Player Board'!$R$5:$R$304,MATCH(B91,'Player Board'!$A$5:$A$304,0)),"")</f>
        <v/>
      </c>
      <c r="H91" s="19" t="str">
        <f aca="false">IF(E91="","",G91-E91)</f>
        <v/>
      </c>
      <c r="I91" s="43"/>
      <c r="J91" s="18" t="str">
        <f aca="false">IF(B91="","",IF(A91=MAX($A$5:$A$304),"LAST — CLEAR INPUTS TO UNDO",IF(AND(D91&lt;&gt;"",E91&lt;&gt;""),"LOGGED","INCOMPLETE")))</f>
        <v/>
      </c>
      <c r="K91" s="18" t="str">
        <f aca="false">IFERROR(INDEX('Player Board'!$AA$5:$AA$304,MATCH(B91,'Player Board'!$A$5:$A$304,0)),"")</f>
        <v/>
      </c>
    </row>
    <row r="92" customFormat="false" ht="18" hidden="false" customHeight="true" outlineLevel="0" collapsed="false">
      <c r="A92" s="18" t="str">
        <f aca="false">IF(B92="","",ROW()-4)</f>
        <v/>
      </c>
      <c r="B92" s="43"/>
      <c r="C92" s="18" t="str">
        <f aca="false">IFERROR(INDEX('Player Board'!$G$5:$G$304,MATCH(B92,'Player Board'!$A$5:$A$304,0)),"")</f>
        <v/>
      </c>
      <c r="D92" s="43"/>
      <c r="E92" s="44"/>
      <c r="F92" s="44"/>
      <c r="G92" s="19" t="str">
        <f aca="false">IFERROR(INDEX('Player Board'!$R$5:$R$304,MATCH(B92,'Player Board'!$A$5:$A$304,0)),"")</f>
        <v/>
      </c>
      <c r="H92" s="19" t="str">
        <f aca="false">IF(E92="","",G92-E92)</f>
        <v/>
      </c>
      <c r="I92" s="43"/>
      <c r="J92" s="18" t="str">
        <f aca="false">IF(B92="","",IF(A92=MAX($A$5:$A$304),"LAST — CLEAR INPUTS TO UNDO",IF(AND(D92&lt;&gt;"",E92&lt;&gt;""),"LOGGED","INCOMPLETE")))</f>
        <v/>
      </c>
      <c r="K92" s="18" t="str">
        <f aca="false">IFERROR(INDEX('Player Board'!$AA$5:$AA$304,MATCH(B92,'Player Board'!$A$5:$A$304,0)),"")</f>
        <v/>
      </c>
    </row>
    <row r="93" customFormat="false" ht="18" hidden="false" customHeight="true" outlineLevel="0" collapsed="false">
      <c r="A93" s="18" t="str">
        <f aca="false">IF(B93="","",ROW()-4)</f>
        <v/>
      </c>
      <c r="B93" s="43"/>
      <c r="C93" s="18" t="str">
        <f aca="false">IFERROR(INDEX('Player Board'!$G$5:$G$304,MATCH(B93,'Player Board'!$A$5:$A$304,0)),"")</f>
        <v/>
      </c>
      <c r="D93" s="43"/>
      <c r="E93" s="44"/>
      <c r="F93" s="44"/>
      <c r="G93" s="19" t="str">
        <f aca="false">IFERROR(INDEX('Player Board'!$R$5:$R$304,MATCH(B93,'Player Board'!$A$5:$A$304,0)),"")</f>
        <v/>
      </c>
      <c r="H93" s="19" t="str">
        <f aca="false">IF(E93="","",G93-E93)</f>
        <v/>
      </c>
      <c r="I93" s="43"/>
      <c r="J93" s="18" t="str">
        <f aca="false">IF(B93="","",IF(A93=MAX($A$5:$A$304),"LAST — CLEAR INPUTS TO UNDO",IF(AND(D93&lt;&gt;"",E93&lt;&gt;""),"LOGGED","INCOMPLETE")))</f>
        <v/>
      </c>
      <c r="K93" s="18" t="str">
        <f aca="false">IFERROR(INDEX('Player Board'!$AA$5:$AA$304,MATCH(B93,'Player Board'!$A$5:$A$304,0)),"")</f>
        <v/>
      </c>
    </row>
    <row r="94" customFormat="false" ht="18" hidden="false" customHeight="true" outlineLevel="0" collapsed="false">
      <c r="A94" s="18" t="str">
        <f aca="false">IF(B94="","",ROW()-4)</f>
        <v/>
      </c>
      <c r="B94" s="43"/>
      <c r="C94" s="18" t="str">
        <f aca="false">IFERROR(INDEX('Player Board'!$G$5:$G$304,MATCH(B94,'Player Board'!$A$5:$A$304,0)),"")</f>
        <v/>
      </c>
      <c r="D94" s="43"/>
      <c r="E94" s="44"/>
      <c r="F94" s="44"/>
      <c r="G94" s="19" t="str">
        <f aca="false">IFERROR(INDEX('Player Board'!$R$5:$R$304,MATCH(B94,'Player Board'!$A$5:$A$304,0)),"")</f>
        <v/>
      </c>
      <c r="H94" s="19" t="str">
        <f aca="false">IF(E94="","",G94-E94)</f>
        <v/>
      </c>
      <c r="I94" s="43"/>
      <c r="J94" s="18" t="str">
        <f aca="false">IF(B94="","",IF(A94=MAX($A$5:$A$304),"LAST — CLEAR INPUTS TO UNDO",IF(AND(D94&lt;&gt;"",E94&lt;&gt;""),"LOGGED","INCOMPLETE")))</f>
        <v/>
      </c>
      <c r="K94" s="18" t="str">
        <f aca="false">IFERROR(INDEX('Player Board'!$AA$5:$AA$304,MATCH(B94,'Player Board'!$A$5:$A$304,0)),"")</f>
        <v/>
      </c>
    </row>
    <row r="95" customFormat="false" ht="18" hidden="false" customHeight="true" outlineLevel="0" collapsed="false">
      <c r="A95" s="18" t="str">
        <f aca="false">IF(B95="","",ROW()-4)</f>
        <v/>
      </c>
      <c r="B95" s="43"/>
      <c r="C95" s="18" t="str">
        <f aca="false">IFERROR(INDEX('Player Board'!$G$5:$G$304,MATCH(B95,'Player Board'!$A$5:$A$304,0)),"")</f>
        <v/>
      </c>
      <c r="D95" s="43"/>
      <c r="E95" s="44"/>
      <c r="F95" s="44"/>
      <c r="G95" s="19" t="str">
        <f aca="false">IFERROR(INDEX('Player Board'!$R$5:$R$304,MATCH(B95,'Player Board'!$A$5:$A$304,0)),"")</f>
        <v/>
      </c>
      <c r="H95" s="19" t="str">
        <f aca="false">IF(E95="","",G95-E95)</f>
        <v/>
      </c>
      <c r="I95" s="43"/>
      <c r="J95" s="18" t="str">
        <f aca="false">IF(B95="","",IF(A95=MAX($A$5:$A$304),"LAST — CLEAR INPUTS TO UNDO",IF(AND(D95&lt;&gt;"",E95&lt;&gt;""),"LOGGED","INCOMPLETE")))</f>
        <v/>
      </c>
      <c r="K95" s="18" t="str">
        <f aca="false">IFERROR(INDEX('Player Board'!$AA$5:$AA$304,MATCH(B95,'Player Board'!$A$5:$A$304,0)),"")</f>
        <v/>
      </c>
    </row>
    <row r="96" customFormat="false" ht="18" hidden="false" customHeight="true" outlineLevel="0" collapsed="false">
      <c r="A96" s="18" t="str">
        <f aca="false">IF(B96="","",ROW()-4)</f>
        <v/>
      </c>
      <c r="B96" s="43"/>
      <c r="C96" s="18" t="str">
        <f aca="false">IFERROR(INDEX('Player Board'!$G$5:$G$304,MATCH(B96,'Player Board'!$A$5:$A$304,0)),"")</f>
        <v/>
      </c>
      <c r="D96" s="43"/>
      <c r="E96" s="44"/>
      <c r="F96" s="44"/>
      <c r="G96" s="19" t="str">
        <f aca="false">IFERROR(INDEX('Player Board'!$R$5:$R$304,MATCH(B96,'Player Board'!$A$5:$A$304,0)),"")</f>
        <v/>
      </c>
      <c r="H96" s="19" t="str">
        <f aca="false">IF(E96="","",G96-E96)</f>
        <v/>
      </c>
      <c r="I96" s="43"/>
      <c r="J96" s="18" t="str">
        <f aca="false">IF(B96="","",IF(A96=MAX($A$5:$A$304),"LAST — CLEAR INPUTS TO UNDO",IF(AND(D96&lt;&gt;"",E96&lt;&gt;""),"LOGGED","INCOMPLETE")))</f>
        <v/>
      </c>
      <c r="K96" s="18" t="str">
        <f aca="false">IFERROR(INDEX('Player Board'!$AA$5:$AA$304,MATCH(B96,'Player Board'!$A$5:$A$304,0)),"")</f>
        <v/>
      </c>
    </row>
    <row r="97" customFormat="false" ht="18" hidden="false" customHeight="true" outlineLevel="0" collapsed="false">
      <c r="A97" s="18" t="str">
        <f aca="false">IF(B97="","",ROW()-4)</f>
        <v/>
      </c>
      <c r="B97" s="43"/>
      <c r="C97" s="18" t="str">
        <f aca="false">IFERROR(INDEX('Player Board'!$G$5:$G$304,MATCH(B97,'Player Board'!$A$5:$A$304,0)),"")</f>
        <v/>
      </c>
      <c r="D97" s="43"/>
      <c r="E97" s="44"/>
      <c r="F97" s="44"/>
      <c r="G97" s="19" t="str">
        <f aca="false">IFERROR(INDEX('Player Board'!$R$5:$R$304,MATCH(B97,'Player Board'!$A$5:$A$304,0)),"")</f>
        <v/>
      </c>
      <c r="H97" s="19" t="str">
        <f aca="false">IF(E97="","",G97-E97)</f>
        <v/>
      </c>
      <c r="I97" s="43"/>
      <c r="J97" s="18" t="str">
        <f aca="false">IF(B97="","",IF(A97=MAX($A$5:$A$304),"LAST — CLEAR INPUTS TO UNDO",IF(AND(D97&lt;&gt;"",E97&lt;&gt;""),"LOGGED","INCOMPLETE")))</f>
        <v/>
      </c>
      <c r="K97" s="18" t="str">
        <f aca="false">IFERROR(INDEX('Player Board'!$AA$5:$AA$304,MATCH(B97,'Player Board'!$A$5:$A$304,0)),"")</f>
        <v/>
      </c>
    </row>
    <row r="98" customFormat="false" ht="18" hidden="false" customHeight="true" outlineLevel="0" collapsed="false">
      <c r="A98" s="18" t="str">
        <f aca="false">IF(B98="","",ROW()-4)</f>
        <v/>
      </c>
      <c r="B98" s="43"/>
      <c r="C98" s="18" t="str">
        <f aca="false">IFERROR(INDEX('Player Board'!$G$5:$G$304,MATCH(B98,'Player Board'!$A$5:$A$304,0)),"")</f>
        <v/>
      </c>
      <c r="D98" s="43"/>
      <c r="E98" s="44"/>
      <c r="F98" s="44"/>
      <c r="G98" s="19" t="str">
        <f aca="false">IFERROR(INDEX('Player Board'!$R$5:$R$304,MATCH(B98,'Player Board'!$A$5:$A$304,0)),"")</f>
        <v/>
      </c>
      <c r="H98" s="19" t="str">
        <f aca="false">IF(E98="","",G98-E98)</f>
        <v/>
      </c>
      <c r="I98" s="43"/>
      <c r="J98" s="18" t="str">
        <f aca="false">IF(B98="","",IF(A98=MAX($A$5:$A$304),"LAST — CLEAR INPUTS TO UNDO",IF(AND(D98&lt;&gt;"",E98&lt;&gt;""),"LOGGED","INCOMPLETE")))</f>
        <v/>
      </c>
      <c r="K98" s="18" t="str">
        <f aca="false">IFERROR(INDEX('Player Board'!$AA$5:$AA$304,MATCH(B98,'Player Board'!$A$5:$A$304,0)),"")</f>
        <v/>
      </c>
    </row>
    <row r="99" customFormat="false" ht="18" hidden="false" customHeight="true" outlineLevel="0" collapsed="false">
      <c r="A99" s="18" t="str">
        <f aca="false">IF(B99="","",ROW()-4)</f>
        <v/>
      </c>
      <c r="B99" s="43"/>
      <c r="C99" s="18" t="str">
        <f aca="false">IFERROR(INDEX('Player Board'!$G$5:$G$304,MATCH(B99,'Player Board'!$A$5:$A$304,0)),"")</f>
        <v/>
      </c>
      <c r="D99" s="43"/>
      <c r="E99" s="44"/>
      <c r="F99" s="44"/>
      <c r="G99" s="19" t="str">
        <f aca="false">IFERROR(INDEX('Player Board'!$R$5:$R$304,MATCH(B99,'Player Board'!$A$5:$A$304,0)),"")</f>
        <v/>
      </c>
      <c r="H99" s="19" t="str">
        <f aca="false">IF(E99="","",G99-E99)</f>
        <v/>
      </c>
      <c r="I99" s="43"/>
      <c r="J99" s="18" t="str">
        <f aca="false">IF(B99="","",IF(A99=MAX($A$5:$A$304),"LAST — CLEAR INPUTS TO UNDO",IF(AND(D99&lt;&gt;"",E99&lt;&gt;""),"LOGGED","INCOMPLETE")))</f>
        <v/>
      </c>
      <c r="K99" s="18" t="str">
        <f aca="false">IFERROR(INDEX('Player Board'!$AA$5:$AA$304,MATCH(B99,'Player Board'!$A$5:$A$304,0)),"")</f>
        <v/>
      </c>
    </row>
    <row r="100" customFormat="false" ht="18" hidden="false" customHeight="true" outlineLevel="0" collapsed="false">
      <c r="A100" s="18" t="str">
        <f aca="false">IF(B100="","",ROW()-4)</f>
        <v/>
      </c>
      <c r="B100" s="43"/>
      <c r="C100" s="18" t="str">
        <f aca="false">IFERROR(INDEX('Player Board'!$G$5:$G$304,MATCH(B100,'Player Board'!$A$5:$A$304,0)),"")</f>
        <v/>
      </c>
      <c r="D100" s="43"/>
      <c r="E100" s="44"/>
      <c r="F100" s="44"/>
      <c r="G100" s="19" t="str">
        <f aca="false">IFERROR(INDEX('Player Board'!$R$5:$R$304,MATCH(B100,'Player Board'!$A$5:$A$304,0)),"")</f>
        <v/>
      </c>
      <c r="H100" s="19" t="str">
        <f aca="false">IF(E100="","",G100-E100)</f>
        <v/>
      </c>
      <c r="I100" s="43"/>
      <c r="J100" s="18" t="str">
        <f aca="false">IF(B100="","",IF(A100=MAX($A$5:$A$304),"LAST — CLEAR INPUTS TO UNDO",IF(AND(D100&lt;&gt;"",E100&lt;&gt;""),"LOGGED","INCOMPLETE")))</f>
        <v/>
      </c>
      <c r="K100" s="18" t="str">
        <f aca="false">IFERROR(INDEX('Player Board'!$AA$5:$AA$304,MATCH(B100,'Player Board'!$A$5:$A$304,0)),"")</f>
        <v/>
      </c>
    </row>
    <row r="101" customFormat="false" ht="18" hidden="false" customHeight="true" outlineLevel="0" collapsed="false">
      <c r="A101" s="18" t="str">
        <f aca="false">IF(B101="","",ROW()-4)</f>
        <v/>
      </c>
      <c r="B101" s="43"/>
      <c r="C101" s="18" t="str">
        <f aca="false">IFERROR(INDEX('Player Board'!$G$5:$G$304,MATCH(B101,'Player Board'!$A$5:$A$304,0)),"")</f>
        <v/>
      </c>
      <c r="D101" s="43"/>
      <c r="E101" s="44"/>
      <c r="F101" s="44"/>
      <c r="G101" s="19" t="str">
        <f aca="false">IFERROR(INDEX('Player Board'!$R$5:$R$304,MATCH(B101,'Player Board'!$A$5:$A$304,0)),"")</f>
        <v/>
      </c>
      <c r="H101" s="19" t="str">
        <f aca="false">IF(E101="","",G101-E101)</f>
        <v/>
      </c>
      <c r="I101" s="43"/>
      <c r="J101" s="18" t="str">
        <f aca="false">IF(B101="","",IF(A101=MAX($A$5:$A$304),"LAST — CLEAR INPUTS TO UNDO",IF(AND(D101&lt;&gt;"",E101&lt;&gt;""),"LOGGED","INCOMPLETE")))</f>
        <v/>
      </c>
      <c r="K101" s="18" t="str">
        <f aca="false">IFERROR(INDEX('Player Board'!$AA$5:$AA$304,MATCH(B101,'Player Board'!$A$5:$A$304,0)),"")</f>
        <v/>
      </c>
    </row>
    <row r="102" customFormat="false" ht="18" hidden="false" customHeight="true" outlineLevel="0" collapsed="false">
      <c r="A102" s="18" t="str">
        <f aca="false">IF(B102="","",ROW()-4)</f>
        <v/>
      </c>
      <c r="B102" s="43"/>
      <c r="C102" s="18" t="str">
        <f aca="false">IFERROR(INDEX('Player Board'!$G$5:$G$304,MATCH(B102,'Player Board'!$A$5:$A$304,0)),"")</f>
        <v/>
      </c>
      <c r="D102" s="43"/>
      <c r="E102" s="44"/>
      <c r="F102" s="44"/>
      <c r="G102" s="19" t="str">
        <f aca="false">IFERROR(INDEX('Player Board'!$R$5:$R$304,MATCH(B102,'Player Board'!$A$5:$A$304,0)),"")</f>
        <v/>
      </c>
      <c r="H102" s="19" t="str">
        <f aca="false">IF(E102="","",G102-E102)</f>
        <v/>
      </c>
      <c r="I102" s="43"/>
      <c r="J102" s="18" t="str">
        <f aca="false">IF(B102="","",IF(A102=MAX($A$5:$A$304),"LAST — CLEAR INPUTS TO UNDO",IF(AND(D102&lt;&gt;"",E102&lt;&gt;""),"LOGGED","INCOMPLETE")))</f>
        <v/>
      </c>
      <c r="K102" s="18" t="str">
        <f aca="false">IFERROR(INDEX('Player Board'!$AA$5:$AA$304,MATCH(B102,'Player Board'!$A$5:$A$304,0)),"")</f>
        <v/>
      </c>
    </row>
    <row r="103" customFormat="false" ht="18" hidden="false" customHeight="true" outlineLevel="0" collapsed="false">
      <c r="A103" s="18" t="str">
        <f aca="false">IF(B103="","",ROW()-4)</f>
        <v/>
      </c>
      <c r="B103" s="43"/>
      <c r="C103" s="18" t="str">
        <f aca="false">IFERROR(INDEX('Player Board'!$G$5:$G$304,MATCH(B103,'Player Board'!$A$5:$A$304,0)),"")</f>
        <v/>
      </c>
      <c r="D103" s="43"/>
      <c r="E103" s="44"/>
      <c r="F103" s="44"/>
      <c r="G103" s="19" t="str">
        <f aca="false">IFERROR(INDEX('Player Board'!$R$5:$R$304,MATCH(B103,'Player Board'!$A$5:$A$304,0)),"")</f>
        <v/>
      </c>
      <c r="H103" s="19" t="str">
        <f aca="false">IF(E103="","",G103-E103)</f>
        <v/>
      </c>
      <c r="I103" s="43"/>
      <c r="J103" s="18" t="str">
        <f aca="false">IF(B103="","",IF(A103=MAX($A$5:$A$304),"LAST — CLEAR INPUTS TO UNDO",IF(AND(D103&lt;&gt;"",E103&lt;&gt;""),"LOGGED","INCOMPLETE")))</f>
        <v/>
      </c>
      <c r="K103" s="18" t="str">
        <f aca="false">IFERROR(INDEX('Player Board'!$AA$5:$AA$304,MATCH(B103,'Player Board'!$A$5:$A$304,0)),"")</f>
        <v/>
      </c>
    </row>
    <row r="104" customFormat="false" ht="18" hidden="false" customHeight="true" outlineLevel="0" collapsed="false">
      <c r="A104" s="18" t="str">
        <f aca="false">IF(B104="","",ROW()-4)</f>
        <v/>
      </c>
      <c r="B104" s="43"/>
      <c r="C104" s="18" t="str">
        <f aca="false">IFERROR(INDEX('Player Board'!$G$5:$G$304,MATCH(B104,'Player Board'!$A$5:$A$304,0)),"")</f>
        <v/>
      </c>
      <c r="D104" s="43"/>
      <c r="E104" s="44"/>
      <c r="F104" s="44"/>
      <c r="G104" s="19" t="str">
        <f aca="false">IFERROR(INDEX('Player Board'!$R$5:$R$304,MATCH(B104,'Player Board'!$A$5:$A$304,0)),"")</f>
        <v/>
      </c>
      <c r="H104" s="19" t="str">
        <f aca="false">IF(E104="","",G104-E104)</f>
        <v/>
      </c>
      <c r="I104" s="43"/>
      <c r="J104" s="18" t="str">
        <f aca="false">IF(B104="","",IF(A104=MAX($A$5:$A$304),"LAST — CLEAR INPUTS TO UNDO",IF(AND(D104&lt;&gt;"",E104&lt;&gt;""),"LOGGED","INCOMPLETE")))</f>
        <v/>
      </c>
      <c r="K104" s="18" t="str">
        <f aca="false">IFERROR(INDEX('Player Board'!$AA$5:$AA$304,MATCH(B104,'Player Board'!$A$5:$A$304,0)),"")</f>
        <v/>
      </c>
    </row>
    <row r="105" customFormat="false" ht="18" hidden="false" customHeight="true" outlineLevel="0" collapsed="false">
      <c r="A105" s="18" t="str">
        <f aca="false">IF(B105="","",ROW()-4)</f>
        <v/>
      </c>
      <c r="B105" s="43"/>
      <c r="C105" s="18" t="str">
        <f aca="false">IFERROR(INDEX('Player Board'!$G$5:$G$304,MATCH(B105,'Player Board'!$A$5:$A$304,0)),"")</f>
        <v/>
      </c>
      <c r="D105" s="43"/>
      <c r="E105" s="44"/>
      <c r="F105" s="44"/>
      <c r="G105" s="19" t="str">
        <f aca="false">IFERROR(INDEX('Player Board'!$R$5:$R$304,MATCH(B105,'Player Board'!$A$5:$A$304,0)),"")</f>
        <v/>
      </c>
      <c r="H105" s="19" t="str">
        <f aca="false">IF(E105="","",G105-E105)</f>
        <v/>
      </c>
      <c r="I105" s="43"/>
      <c r="J105" s="18" t="str">
        <f aca="false">IF(B105="","",IF(A105=MAX($A$5:$A$304),"LAST — CLEAR INPUTS TO UNDO",IF(AND(D105&lt;&gt;"",E105&lt;&gt;""),"LOGGED","INCOMPLETE")))</f>
        <v/>
      </c>
      <c r="K105" s="18" t="str">
        <f aca="false">IFERROR(INDEX('Player Board'!$AA$5:$AA$304,MATCH(B105,'Player Board'!$A$5:$A$304,0)),"")</f>
        <v/>
      </c>
    </row>
    <row r="106" customFormat="false" ht="18" hidden="false" customHeight="true" outlineLevel="0" collapsed="false">
      <c r="A106" s="18" t="str">
        <f aca="false">IF(B106="","",ROW()-4)</f>
        <v/>
      </c>
      <c r="B106" s="43"/>
      <c r="C106" s="18" t="str">
        <f aca="false">IFERROR(INDEX('Player Board'!$G$5:$G$304,MATCH(B106,'Player Board'!$A$5:$A$304,0)),"")</f>
        <v/>
      </c>
      <c r="D106" s="43"/>
      <c r="E106" s="44"/>
      <c r="F106" s="44"/>
      <c r="G106" s="19" t="str">
        <f aca="false">IFERROR(INDEX('Player Board'!$R$5:$R$304,MATCH(B106,'Player Board'!$A$5:$A$304,0)),"")</f>
        <v/>
      </c>
      <c r="H106" s="19" t="str">
        <f aca="false">IF(E106="","",G106-E106)</f>
        <v/>
      </c>
      <c r="I106" s="43"/>
      <c r="J106" s="18" t="str">
        <f aca="false">IF(B106="","",IF(A106=MAX($A$5:$A$304),"LAST — CLEAR INPUTS TO UNDO",IF(AND(D106&lt;&gt;"",E106&lt;&gt;""),"LOGGED","INCOMPLETE")))</f>
        <v/>
      </c>
      <c r="K106" s="18" t="str">
        <f aca="false">IFERROR(INDEX('Player Board'!$AA$5:$AA$304,MATCH(B106,'Player Board'!$A$5:$A$304,0)),"")</f>
        <v/>
      </c>
    </row>
    <row r="107" customFormat="false" ht="18" hidden="false" customHeight="true" outlineLevel="0" collapsed="false">
      <c r="A107" s="18" t="str">
        <f aca="false">IF(B107="","",ROW()-4)</f>
        <v/>
      </c>
      <c r="B107" s="43"/>
      <c r="C107" s="18" t="str">
        <f aca="false">IFERROR(INDEX('Player Board'!$G$5:$G$304,MATCH(B107,'Player Board'!$A$5:$A$304,0)),"")</f>
        <v/>
      </c>
      <c r="D107" s="43"/>
      <c r="E107" s="44"/>
      <c r="F107" s="44"/>
      <c r="G107" s="19" t="str">
        <f aca="false">IFERROR(INDEX('Player Board'!$R$5:$R$304,MATCH(B107,'Player Board'!$A$5:$A$304,0)),"")</f>
        <v/>
      </c>
      <c r="H107" s="19" t="str">
        <f aca="false">IF(E107="","",G107-E107)</f>
        <v/>
      </c>
      <c r="I107" s="43"/>
      <c r="J107" s="18" t="str">
        <f aca="false">IF(B107="","",IF(A107=MAX($A$5:$A$304),"LAST — CLEAR INPUTS TO UNDO",IF(AND(D107&lt;&gt;"",E107&lt;&gt;""),"LOGGED","INCOMPLETE")))</f>
        <v/>
      </c>
      <c r="K107" s="18" t="str">
        <f aca="false">IFERROR(INDEX('Player Board'!$AA$5:$AA$304,MATCH(B107,'Player Board'!$A$5:$A$304,0)),"")</f>
        <v/>
      </c>
    </row>
    <row r="108" customFormat="false" ht="18" hidden="false" customHeight="true" outlineLevel="0" collapsed="false">
      <c r="A108" s="18" t="str">
        <f aca="false">IF(B108="","",ROW()-4)</f>
        <v/>
      </c>
      <c r="B108" s="43"/>
      <c r="C108" s="18" t="str">
        <f aca="false">IFERROR(INDEX('Player Board'!$G$5:$G$304,MATCH(B108,'Player Board'!$A$5:$A$304,0)),"")</f>
        <v/>
      </c>
      <c r="D108" s="43"/>
      <c r="E108" s="44"/>
      <c r="F108" s="44"/>
      <c r="G108" s="19" t="str">
        <f aca="false">IFERROR(INDEX('Player Board'!$R$5:$R$304,MATCH(B108,'Player Board'!$A$5:$A$304,0)),"")</f>
        <v/>
      </c>
      <c r="H108" s="19" t="str">
        <f aca="false">IF(E108="","",G108-E108)</f>
        <v/>
      </c>
      <c r="I108" s="43"/>
      <c r="J108" s="18" t="str">
        <f aca="false">IF(B108="","",IF(A108=MAX($A$5:$A$304),"LAST — CLEAR INPUTS TO UNDO",IF(AND(D108&lt;&gt;"",E108&lt;&gt;""),"LOGGED","INCOMPLETE")))</f>
        <v/>
      </c>
      <c r="K108" s="18" t="str">
        <f aca="false">IFERROR(INDEX('Player Board'!$AA$5:$AA$304,MATCH(B108,'Player Board'!$A$5:$A$304,0)),"")</f>
        <v/>
      </c>
    </row>
    <row r="109" customFormat="false" ht="18" hidden="false" customHeight="true" outlineLevel="0" collapsed="false">
      <c r="A109" s="18" t="str">
        <f aca="false">IF(B109="","",ROW()-4)</f>
        <v/>
      </c>
      <c r="B109" s="43"/>
      <c r="C109" s="18" t="str">
        <f aca="false">IFERROR(INDEX('Player Board'!$G$5:$G$304,MATCH(B109,'Player Board'!$A$5:$A$304,0)),"")</f>
        <v/>
      </c>
      <c r="D109" s="43"/>
      <c r="E109" s="44"/>
      <c r="F109" s="44"/>
      <c r="G109" s="19" t="str">
        <f aca="false">IFERROR(INDEX('Player Board'!$R$5:$R$304,MATCH(B109,'Player Board'!$A$5:$A$304,0)),"")</f>
        <v/>
      </c>
      <c r="H109" s="19" t="str">
        <f aca="false">IF(E109="","",G109-E109)</f>
        <v/>
      </c>
      <c r="I109" s="43"/>
      <c r="J109" s="18" t="str">
        <f aca="false">IF(B109="","",IF(A109=MAX($A$5:$A$304),"LAST — CLEAR INPUTS TO UNDO",IF(AND(D109&lt;&gt;"",E109&lt;&gt;""),"LOGGED","INCOMPLETE")))</f>
        <v/>
      </c>
      <c r="K109" s="18" t="str">
        <f aca="false">IFERROR(INDEX('Player Board'!$AA$5:$AA$304,MATCH(B109,'Player Board'!$A$5:$A$304,0)),"")</f>
        <v/>
      </c>
    </row>
    <row r="110" customFormat="false" ht="18" hidden="false" customHeight="true" outlineLevel="0" collapsed="false">
      <c r="A110" s="18" t="str">
        <f aca="false">IF(B110="","",ROW()-4)</f>
        <v/>
      </c>
      <c r="B110" s="43"/>
      <c r="C110" s="18" t="str">
        <f aca="false">IFERROR(INDEX('Player Board'!$G$5:$G$304,MATCH(B110,'Player Board'!$A$5:$A$304,0)),"")</f>
        <v/>
      </c>
      <c r="D110" s="43"/>
      <c r="E110" s="44"/>
      <c r="F110" s="44"/>
      <c r="G110" s="19" t="str">
        <f aca="false">IFERROR(INDEX('Player Board'!$R$5:$R$304,MATCH(B110,'Player Board'!$A$5:$A$304,0)),"")</f>
        <v/>
      </c>
      <c r="H110" s="19" t="str">
        <f aca="false">IF(E110="","",G110-E110)</f>
        <v/>
      </c>
      <c r="I110" s="43"/>
      <c r="J110" s="18" t="str">
        <f aca="false">IF(B110="","",IF(A110=MAX($A$5:$A$304),"LAST — CLEAR INPUTS TO UNDO",IF(AND(D110&lt;&gt;"",E110&lt;&gt;""),"LOGGED","INCOMPLETE")))</f>
        <v/>
      </c>
      <c r="K110" s="18" t="str">
        <f aca="false">IFERROR(INDEX('Player Board'!$AA$5:$AA$304,MATCH(B110,'Player Board'!$A$5:$A$304,0)),"")</f>
        <v/>
      </c>
    </row>
    <row r="111" customFormat="false" ht="18" hidden="false" customHeight="true" outlineLevel="0" collapsed="false">
      <c r="A111" s="18" t="str">
        <f aca="false">IF(B111="","",ROW()-4)</f>
        <v/>
      </c>
      <c r="B111" s="43"/>
      <c r="C111" s="18" t="str">
        <f aca="false">IFERROR(INDEX('Player Board'!$G$5:$G$304,MATCH(B111,'Player Board'!$A$5:$A$304,0)),"")</f>
        <v/>
      </c>
      <c r="D111" s="43"/>
      <c r="E111" s="44"/>
      <c r="F111" s="44"/>
      <c r="G111" s="19" t="str">
        <f aca="false">IFERROR(INDEX('Player Board'!$R$5:$R$304,MATCH(B111,'Player Board'!$A$5:$A$304,0)),"")</f>
        <v/>
      </c>
      <c r="H111" s="19" t="str">
        <f aca="false">IF(E111="","",G111-E111)</f>
        <v/>
      </c>
      <c r="I111" s="43"/>
      <c r="J111" s="18" t="str">
        <f aca="false">IF(B111="","",IF(A111=MAX($A$5:$A$304),"LAST — CLEAR INPUTS TO UNDO",IF(AND(D111&lt;&gt;"",E111&lt;&gt;""),"LOGGED","INCOMPLETE")))</f>
        <v/>
      </c>
      <c r="K111" s="18" t="str">
        <f aca="false">IFERROR(INDEX('Player Board'!$AA$5:$AA$304,MATCH(B111,'Player Board'!$A$5:$A$304,0)),"")</f>
        <v/>
      </c>
    </row>
    <row r="112" customFormat="false" ht="18" hidden="false" customHeight="true" outlineLevel="0" collapsed="false">
      <c r="A112" s="18" t="str">
        <f aca="false">IF(B112="","",ROW()-4)</f>
        <v/>
      </c>
      <c r="B112" s="43"/>
      <c r="C112" s="18" t="str">
        <f aca="false">IFERROR(INDEX('Player Board'!$G$5:$G$304,MATCH(B112,'Player Board'!$A$5:$A$304,0)),"")</f>
        <v/>
      </c>
      <c r="D112" s="43"/>
      <c r="E112" s="44"/>
      <c r="F112" s="44"/>
      <c r="G112" s="19" t="str">
        <f aca="false">IFERROR(INDEX('Player Board'!$R$5:$R$304,MATCH(B112,'Player Board'!$A$5:$A$304,0)),"")</f>
        <v/>
      </c>
      <c r="H112" s="19" t="str">
        <f aca="false">IF(E112="","",G112-E112)</f>
        <v/>
      </c>
      <c r="I112" s="43"/>
      <c r="J112" s="18" t="str">
        <f aca="false">IF(B112="","",IF(A112=MAX($A$5:$A$304),"LAST — CLEAR INPUTS TO UNDO",IF(AND(D112&lt;&gt;"",E112&lt;&gt;""),"LOGGED","INCOMPLETE")))</f>
        <v/>
      </c>
      <c r="K112" s="18" t="str">
        <f aca="false">IFERROR(INDEX('Player Board'!$AA$5:$AA$304,MATCH(B112,'Player Board'!$A$5:$A$304,0)),"")</f>
        <v/>
      </c>
    </row>
    <row r="113" customFormat="false" ht="18" hidden="false" customHeight="true" outlineLevel="0" collapsed="false">
      <c r="A113" s="18" t="str">
        <f aca="false">IF(B113="","",ROW()-4)</f>
        <v/>
      </c>
      <c r="B113" s="43"/>
      <c r="C113" s="18" t="str">
        <f aca="false">IFERROR(INDEX('Player Board'!$G$5:$G$304,MATCH(B113,'Player Board'!$A$5:$A$304,0)),"")</f>
        <v/>
      </c>
      <c r="D113" s="43"/>
      <c r="E113" s="44"/>
      <c r="F113" s="44"/>
      <c r="G113" s="19" t="str">
        <f aca="false">IFERROR(INDEX('Player Board'!$R$5:$R$304,MATCH(B113,'Player Board'!$A$5:$A$304,0)),"")</f>
        <v/>
      </c>
      <c r="H113" s="19" t="str">
        <f aca="false">IF(E113="","",G113-E113)</f>
        <v/>
      </c>
      <c r="I113" s="43"/>
      <c r="J113" s="18" t="str">
        <f aca="false">IF(B113="","",IF(A113=MAX($A$5:$A$304),"LAST — CLEAR INPUTS TO UNDO",IF(AND(D113&lt;&gt;"",E113&lt;&gt;""),"LOGGED","INCOMPLETE")))</f>
        <v/>
      </c>
      <c r="K113" s="18" t="str">
        <f aca="false">IFERROR(INDEX('Player Board'!$AA$5:$AA$304,MATCH(B113,'Player Board'!$A$5:$A$304,0)),"")</f>
        <v/>
      </c>
    </row>
    <row r="114" customFormat="false" ht="18" hidden="false" customHeight="true" outlineLevel="0" collapsed="false">
      <c r="A114" s="18" t="str">
        <f aca="false">IF(B114="","",ROW()-4)</f>
        <v/>
      </c>
      <c r="B114" s="43"/>
      <c r="C114" s="18" t="str">
        <f aca="false">IFERROR(INDEX('Player Board'!$G$5:$G$304,MATCH(B114,'Player Board'!$A$5:$A$304,0)),"")</f>
        <v/>
      </c>
      <c r="D114" s="43"/>
      <c r="E114" s="44"/>
      <c r="F114" s="44"/>
      <c r="G114" s="19" t="str">
        <f aca="false">IFERROR(INDEX('Player Board'!$R$5:$R$304,MATCH(B114,'Player Board'!$A$5:$A$304,0)),"")</f>
        <v/>
      </c>
      <c r="H114" s="19" t="str">
        <f aca="false">IF(E114="","",G114-E114)</f>
        <v/>
      </c>
      <c r="I114" s="43"/>
      <c r="J114" s="18" t="str">
        <f aca="false">IF(B114="","",IF(A114=MAX($A$5:$A$304),"LAST — CLEAR INPUTS TO UNDO",IF(AND(D114&lt;&gt;"",E114&lt;&gt;""),"LOGGED","INCOMPLETE")))</f>
        <v/>
      </c>
      <c r="K114" s="18" t="str">
        <f aca="false">IFERROR(INDEX('Player Board'!$AA$5:$AA$304,MATCH(B114,'Player Board'!$A$5:$A$304,0)),"")</f>
        <v/>
      </c>
    </row>
    <row r="115" customFormat="false" ht="18" hidden="false" customHeight="true" outlineLevel="0" collapsed="false">
      <c r="A115" s="18" t="str">
        <f aca="false">IF(B115="","",ROW()-4)</f>
        <v/>
      </c>
      <c r="B115" s="43"/>
      <c r="C115" s="18" t="str">
        <f aca="false">IFERROR(INDEX('Player Board'!$G$5:$G$304,MATCH(B115,'Player Board'!$A$5:$A$304,0)),"")</f>
        <v/>
      </c>
      <c r="D115" s="43"/>
      <c r="E115" s="44"/>
      <c r="F115" s="44"/>
      <c r="G115" s="19" t="str">
        <f aca="false">IFERROR(INDEX('Player Board'!$R$5:$R$304,MATCH(B115,'Player Board'!$A$5:$A$304,0)),"")</f>
        <v/>
      </c>
      <c r="H115" s="19" t="str">
        <f aca="false">IF(E115="","",G115-E115)</f>
        <v/>
      </c>
      <c r="I115" s="43"/>
      <c r="J115" s="18" t="str">
        <f aca="false">IF(B115="","",IF(A115=MAX($A$5:$A$304),"LAST — CLEAR INPUTS TO UNDO",IF(AND(D115&lt;&gt;"",E115&lt;&gt;""),"LOGGED","INCOMPLETE")))</f>
        <v/>
      </c>
      <c r="K115" s="18" t="str">
        <f aca="false">IFERROR(INDEX('Player Board'!$AA$5:$AA$304,MATCH(B115,'Player Board'!$A$5:$A$304,0)),"")</f>
        <v/>
      </c>
    </row>
    <row r="116" customFormat="false" ht="18" hidden="false" customHeight="true" outlineLevel="0" collapsed="false">
      <c r="A116" s="18" t="str">
        <f aca="false">IF(B116="","",ROW()-4)</f>
        <v/>
      </c>
      <c r="B116" s="43"/>
      <c r="C116" s="18" t="str">
        <f aca="false">IFERROR(INDEX('Player Board'!$G$5:$G$304,MATCH(B116,'Player Board'!$A$5:$A$304,0)),"")</f>
        <v/>
      </c>
      <c r="D116" s="43"/>
      <c r="E116" s="44"/>
      <c r="F116" s="44"/>
      <c r="G116" s="19" t="str">
        <f aca="false">IFERROR(INDEX('Player Board'!$R$5:$R$304,MATCH(B116,'Player Board'!$A$5:$A$304,0)),"")</f>
        <v/>
      </c>
      <c r="H116" s="19" t="str">
        <f aca="false">IF(E116="","",G116-E116)</f>
        <v/>
      </c>
      <c r="I116" s="43"/>
      <c r="J116" s="18" t="str">
        <f aca="false">IF(B116="","",IF(A116=MAX($A$5:$A$304),"LAST — CLEAR INPUTS TO UNDO",IF(AND(D116&lt;&gt;"",E116&lt;&gt;""),"LOGGED","INCOMPLETE")))</f>
        <v/>
      </c>
      <c r="K116" s="18" t="str">
        <f aca="false">IFERROR(INDEX('Player Board'!$AA$5:$AA$304,MATCH(B116,'Player Board'!$A$5:$A$304,0)),"")</f>
        <v/>
      </c>
    </row>
    <row r="117" customFormat="false" ht="18" hidden="false" customHeight="true" outlineLevel="0" collapsed="false">
      <c r="A117" s="18" t="str">
        <f aca="false">IF(B117="","",ROW()-4)</f>
        <v/>
      </c>
      <c r="B117" s="43"/>
      <c r="C117" s="18" t="str">
        <f aca="false">IFERROR(INDEX('Player Board'!$G$5:$G$304,MATCH(B117,'Player Board'!$A$5:$A$304,0)),"")</f>
        <v/>
      </c>
      <c r="D117" s="43"/>
      <c r="E117" s="44"/>
      <c r="F117" s="44"/>
      <c r="G117" s="19" t="str">
        <f aca="false">IFERROR(INDEX('Player Board'!$R$5:$R$304,MATCH(B117,'Player Board'!$A$5:$A$304,0)),"")</f>
        <v/>
      </c>
      <c r="H117" s="19" t="str">
        <f aca="false">IF(E117="","",G117-E117)</f>
        <v/>
      </c>
      <c r="I117" s="43"/>
      <c r="J117" s="18" t="str">
        <f aca="false">IF(B117="","",IF(A117=MAX($A$5:$A$304),"LAST — CLEAR INPUTS TO UNDO",IF(AND(D117&lt;&gt;"",E117&lt;&gt;""),"LOGGED","INCOMPLETE")))</f>
        <v/>
      </c>
      <c r="K117" s="18" t="str">
        <f aca="false">IFERROR(INDEX('Player Board'!$AA$5:$AA$304,MATCH(B117,'Player Board'!$A$5:$A$304,0)),"")</f>
        <v/>
      </c>
    </row>
    <row r="118" customFormat="false" ht="18" hidden="false" customHeight="true" outlineLevel="0" collapsed="false">
      <c r="A118" s="18" t="str">
        <f aca="false">IF(B118="","",ROW()-4)</f>
        <v/>
      </c>
      <c r="B118" s="43"/>
      <c r="C118" s="18" t="str">
        <f aca="false">IFERROR(INDEX('Player Board'!$G$5:$G$304,MATCH(B118,'Player Board'!$A$5:$A$304,0)),"")</f>
        <v/>
      </c>
      <c r="D118" s="43"/>
      <c r="E118" s="44"/>
      <c r="F118" s="44"/>
      <c r="G118" s="19" t="str">
        <f aca="false">IFERROR(INDEX('Player Board'!$R$5:$R$304,MATCH(B118,'Player Board'!$A$5:$A$304,0)),"")</f>
        <v/>
      </c>
      <c r="H118" s="19" t="str">
        <f aca="false">IF(E118="","",G118-E118)</f>
        <v/>
      </c>
      <c r="I118" s="43"/>
      <c r="J118" s="18" t="str">
        <f aca="false">IF(B118="","",IF(A118=MAX($A$5:$A$304),"LAST — CLEAR INPUTS TO UNDO",IF(AND(D118&lt;&gt;"",E118&lt;&gt;""),"LOGGED","INCOMPLETE")))</f>
        <v/>
      </c>
      <c r="K118" s="18" t="str">
        <f aca="false">IFERROR(INDEX('Player Board'!$AA$5:$AA$304,MATCH(B118,'Player Board'!$A$5:$A$304,0)),"")</f>
        <v/>
      </c>
    </row>
    <row r="119" customFormat="false" ht="18" hidden="false" customHeight="true" outlineLevel="0" collapsed="false">
      <c r="A119" s="18" t="str">
        <f aca="false">IF(B119="","",ROW()-4)</f>
        <v/>
      </c>
      <c r="B119" s="43"/>
      <c r="C119" s="18" t="str">
        <f aca="false">IFERROR(INDEX('Player Board'!$G$5:$G$304,MATCH(B119,'Player Board'!$A$5:$A$304,0)),"")</f>
        <v/>
      </c>
      <c r="D119" s="43"/>
      <c r="E119" s="44"/>
      <c r="F119" s="44"/>
      <c r="G119" s="19" t="str">
        <f aca="false">IFERROR(INDEX('Player Board'!$R$5:$R$304,MATCH(B119,'Player Board'!$A$5:$A$304,0)),"")</f>
        <v/>
      </c>
      <c r="H119" s="19" t="str">
        <f aca="false">IF(E119="","",G119-E119)</f>
        <v/>
      </c>
      <c r="I119" s="43"/>
      <c r="J119" s="18" t="str">
        <f aca="false">IF(B119="","",IF(A119=MAX($A$5:$A$304),"LAST — CLEAR INPUTS TO UNDO",IF(AND(D119&lt;&gt;"",E119&lt;&gt;""),"LOGGED","INCOMPLETE")))</f>
        <v/>
      </c>
      <c r="K119" s="18" t="str">
        <f aca="false">IFERROR(INDEX('Player Board'!$AA$5:$AA$304,MATCH(B119,'Player Board'!$A$5:$A$304,0)),"")</f>
        <v/>
      </c>
    </row>
    <row r="120" customFormat="false" ht="18" hidden="false" customHeight="true" outlineLevel="0" collapsed="false">
      <c r="A120" s="18" t="str">
        <f aca="false">IF(B120="","",ROW()-4)</f>
        <v/>
      </c>
      <c r="B120" s="43"/>
      <c r="C120" s="18" t="str">
        <f aca="false">IFERROR(INDEX('Player Board'!$G$5:$G$304,MATCH(B120,'Player Board'!$A$5:$A$304,0)),"")</f>
        <v/>
      </c>
      <c r="D120" s="43"/>
      <c r="E120" s="44"/>
      <c r="F120" s="44"/>
      <c r="G120" s="19" t="str">
        <f aca="false">IFERROR(INDEX('Player Board'!$R$5:$R$304,MATCH(B120,'Player Board'!$A$5:$A$304,0)),"")</f>
        <v/>
      </c>
      <c r="H120" s="19" t="str">
        <f aca="false">IF(E120="","",G120-E120)</f>
        <v/>
      </c>
      <c r="I120" s="43"/>
      <c r="J120" s="18" t="str">
        <f aca="false">IF(B120="","",IF(A120=MAX($A$5:$A$304),"LAST — CLEAR INPUTS TO UNDO",IF(AND(D120&lt;&gt;"",E120&lt;&gt;""),"LOGGED","INCOMPLETE")))</f>
        <v/>
      </c>
      <c r="K120" s="18" t="str">
        <f aca="false">IFERROR(INDEX('Player Board'!$AA$5:$AA$304,MATCH(B120,'Player Board'!$A$5:$A$304,0)),"")</f>
        <v/>
      </c>
    </row>
    <row r="121" customFormat="false" ht="18" hidden="false" customHeight="true" outlineLevel="0" collapsed="false">
      <c r="A121" s="18" t="str">
        <f aca="false">IF(B121="","",ROW()-4)</f>
        <v/>
      </c>
      <c r="B121" s="43"/>
      <c r="C121" s="18" t="str">
        <f aca="false">IFERROR(INDEX('Player Board'!$G$5:$G$304,MATCH(B121,'Player Board'!$A$5:$A$304,0)),"")</f>
        <v/>
      </c>
      <c r="D121" s="43"/>
      <c r="E121" s="44"/>
      <c r="F121" s="44"/>
      <c r="G121" s="19" t="str">
        <f aca="false">IFERROR(INDEX('Player Board'!$R$5:$R$304,MATCH(B121,'Player Board'!$A$5:$A$304,0)),"")</f>
        <v/>
      </c>
      <c r="H121" s="19" t="str">
        <f aca="false">IF(E121="","",G121-E121)</f>
        <v/>
      </c>
      <c r="I121" s="43"/>
      <c r="J121" s="18" t="str">
        <f aca="false">IF(B121="","",IF(A121=MAX($A$5:$A$304),"LAST — CLEAR INPUTS TO UNDO",IF(AND(D121&lt;&gt;"",E121&lt;&gt;""),"LOGGED","INCOMPLETE")))</f>
        <v/>
      </c>
      <c r="K121" s="18" t="str">
        <f aca="false">IFERROR(INDEX('Player Board'!$AA$5:$AA$304,MATCH(B121,'Player Board'!$A$5:$A$304,0)),"")</f>
        <v/>
      </c>
    </row>
    <row r="122" customFormat="false" ht="18" hidden="false" customHeight="true" outlineLevel="0" collapsed="false">
      <c r="A122" s="18" t="str">
        <f aca="false">IF(B122="","",ROW()-4)</f>
        <v/>
      </c>
      <c r="B122" s="43"/>
      <c r="C122" s="18" t="str">
        <f aca="false">IFERROR(INDEX('Player Board'!$G$5:$G$304,MATCH(B122,'Player Board'!$A$5:$A$304,0)),"")</f>
        <v/>
      </c>
      <c r="D122" s="43"/>
      <c r="E122" s="44"/>
      <c r="F122" s="44"/>
      <c r="G122" s="19" t="str">
        <f aca="false">IFERROR(INDEX('Player Board'!$R$5:$R$304,MATCH(B122,'Player Board'!$A$5:$A$304,0)),"")</f>
        <v/>
      </c>
      <c r="H122" s="19" t="str">
        <f aca="false">IF(E122="","",G122-E122)</f>
        <v/>
      </c>
      <c r="I122" s="43"/>
      <c r="J122" s="18" t="str">
        <f aca="false">IF(B122="","",IF(A122=MAX($A$5:$A$304),"LAST — CLEAR INPUTS TO UNDO",IF(AND(D122&lt;&gt;"",E122&lt;&gt;""),"LOGGED","INCOMPLETE")))</f>
        <v/>
      </c>
      <c r="K122" s="18" t="str">
        <f aca="false">IFERROR(INDEX('Player Board'!$AA$5:$AA$304,MATCH(B122,'Player Board'!$A$5:$A$304,0)),"")</f>
        <v/>
      </c>
    </row>
    <row r="123" customFormat="false" ht="18" hidden="false" customHeight="true" outlineLevel="0" collapsed="false">
      <c r="A123" s="18" t="str">
        <f aca="false">IF(B123="","",ROW()-4)</f>
        <v/>
      </c>
      <c r="B123" s="43"/>
      <c r="C123" s="18" t="str">
        <f aca="false">IFERROR(INDEX('Player Board'!$G$5:$G$304,MATCH(B123,'Player Board'!$A$5:$A$304,0)),"")</f>
        <v/>
      </c>
      <c r="D123" s="43"/>
      <c r="E123" s="44"/>
      <c r="F123" s="44"/>
      <c r="G123" s="19" t="str">
        <f aca="false">IFERROR(INDEX('Player Board'!$R$5:$R$304,MATCH(B123,'Player Board'!$A$5:$A$304,0)),"")</f>
        <v/>
      </c>
      <c r="H123" s="19" t="str">
        <f aca="false">IF(E123="","",G123-E123)</f>
        <v/>
      </c>
      <c r="I123" s="43"/>
      <c r="J123" s="18" t="str">
        <f aca="false">IF(B123="","",IF(A123=MAX($A$5:$A$304),"LAST — CLEAR INPUTS TO UNDO",IF(AND(D123&lt;&gt;"",E123&lt;&gt;""),"LOGGED","INCOMPLETE")))</f>
        <v/>
      </c>
      <c r="K123" s="18" t="str">
        <f aca="false">IFERROR(INDEX('Player Board'!$AA$5:$AA$304,MATCH(B123,'Player Board'!$A$5:$A$304,0)),"")</f>
        <v/>
      </c>
    </row>
    <row r="124" customFormat="false" ht="18" hidden="false" customHeight="true" outlineLevel="0" collapsed="false">
      <c r="A124" s="18" t="str">
        <f aca="false">IF(B124="","",ROW()-4)</f>
        <v/>
      </c>
      <c r="B124" s="43"/>
      <c r="C124" s="18" t="str">
        <f aca="false">IFERROR(INDEX('Player Board'!$G$5:$G$304,MATCH(B124,'Player Board'!$A$5:$A$304,0)),"")</f>
        <v/>
      </c>
      <c r="D124" s="43"/>
      <c r="E124" s="44"/>
      <c r="F124" s="44"/>
      <c r="G124" s="19" t="str">
        <f aca="false">IFERROR(INDEX('Player Board'!$R$5:$R$304,MATCH(B124,'Player Board'!$A$5:$A$304,0)),"")</f>
        <v/>
      </c>
      <c r="H124" s="19" t="str">
        <f aca="false">IF(E124="","",G124-E124)</f>
        <v/>
      </c>
      <c r="I124" s="43"/>
      <c r="J124" s="18" t="str">
        <f aca="false">IF(B124="","",IF(A124=MAX($A$5:$A$304),"LAST — CLEAR INPUTS TO UNDO",IF(AND(D124&lt;&gt;"",E124&lt;&gt;""),"LOGGED","INCOMPLETE")))</f>
        <v/>
      </c>
      <c r="K124" s="18" t="str">
        <f aca="false">IFERROR(INDEX('Player Board'!$AA$5:$AA$304,MATCH(B124,'Player Board'!$A$5:$A$304,0)),"")</f>
        <v/>
      </c>
    </row>
    <row r="125" customFormat="false" ht="18" hidden="false" customHeight="true" outlineLevel="0" collapsed="false">
      <c r="A125" s="18" t="str">
        <f aca="false">IF(B125="","",ROW()-4)</f>
        <v/>
      </c>
      <c r="B125" s="43"/>
      <c r="C125" s="18" t="str">
        <f aca="false">IFERROR(INDEX('Player Board'!$G$5:$G$304,MATCH(B125,'Player Board'!$A$5:$A$304,0)),"")</f>
        <v/>
      </c>
      <c r="D125" s="43"/>
      <c r="E125" s="44"/>
      <c r="F125" s="44"/>
      <c r="G125" s="19" t="str">
        <f aca="false">IFERROR(INDEX('Player Board'!$R$5:$R$304,MATCH(B125,'Player Board'!$A$5:$A$304,0)),"")</f>
        <v/>
      </c>
      <c r="H125" s="19" t="str">
        <f aca="false">IF(E125="","",G125-E125)</f>
        <v/>
      </c>
      <c r="I125" s="43"/>
      <c r="J125" s="18" t="str">
        <f aca="false">IF(B125="","",IF(A125=MAX($A$5:$A$304),"LAST — CLEAR INPUTS TO UNDO",IF(AND(D125&lt;&gt;"",E125&lt;&gt;""),"LOGGED","INCOMPLETE")))</f>
        <v/>
      </c>
      <c r="K125" s="18" t="str">
        <f aca="false">IFERROR(INDEX('Player Board'!$AA$5:$AA$304,MATCH(B125,'Player Board'!$A$5:$A$304,0)),"")</f>
        <v/>
      </c>
    </row>
    <row r="126" customFormat="false" ht="18" hidden="false" customHeight="true" outlineLevel="0" collapsed="false">
      <c r="A126" s="18" t="str">
        <f aca="false">IF(B126="","",ROW()-4)</f>
        <v/>
      </c>
      <c r="B126" s="43"/>
      <c r="C126" s="18" t="str">
        <f aca="false">IFERROR(INDEX('Player Board'!$G$5:$G$304,MATCH(B126,'Player Board'!$A$5:$A$304,0)),"")</f>
        <v/>
      </c>
      <c r="D126" s="43"/>
      <c r="E126" s="44"/>
      <c r="F126" s="44"/>
      <c r="G126" s="19" t="str">
        <f aca="false">IFERROR(INDEX('Player Board'!$R$5:$R$304,MATCH(B126,'Player Board'!$A$5:$A$304,0)),"")</f>
        <v/>
      </c>
      <c r="H126" s="19" t="str">
        <f aca="false">IF(E126="","",G126-E126)</f>
        <v/>
      </c>
      <c r="I126" s="43"/>
      <c r="J126" s="18" t="str">
        <f aca="false">IF(B126="","",IF(A126=MAX($A$5:$A$304),"LAST — CLEAR INPUTS TO UNDO",IF(AND(D126&lt;&gt;"",E126&lt;&gt;""),"LOGGED","INCOMPLETE")))</f>
        <v/>
      </c>
      <c r="K126" s="18" t="str">
        <f aca="false">IFERROR(INDEX('Player Board'!$AA$5:$AA$304,MATCH(B126,'Player Board'!$A$5:$A$304,0)),"")</f>
        <v/>
      </c>
    </row>
    <row r="127" customFormat="false" ht="18" hidden="false" customHeight="true" outlineLevel="0" collapsed="false">
      <c r="A127" s="18" t="str">
        <f aca="false">IF(B127="","",ROW()-4)</f>
        <v/>
      </c>
      <c r="B127" s="43"/>
      <c r="C127" s="18" t="str">
        <f aca="false">IFERROR(INDEX('Player Board'!$G$5:$G$304,MATCH(B127,'Player Board'!$A$5:$A$304,0)),"")</f>
        <v/>
      </c>
      <c r="D127" s="43"/>
      <c r="E127" s="44"/>
      <c r="F127" s="44"/>
      <c r="G127" s="19" t="str">
        <f aca="false">IFERROR(INDEX('Player Board'!$R$5:$R$304,MATCH(B127,'Player Board'!$A$5:$A$304,0)),"")</f>
        <v/>
      </c>
      <c r="H127" s="19" t="str">
        <f aca="false">IF(E127="","",G127-E127)</f>
        <v/>
      </c>
      <c r="I127" s="43"/>
      <c r="J127" s="18" t="str">
        <f aca="false">IF(B127="","",IF(A127=MAX($A$5:$A$304),"LAST — CLEAR INPUTS TO UNDO",IF(AND(D127&lt;&gt;"",E127&lt;&gt;""),"LOGGED","INCOMPLETE")))</f>
        <v/>
      </c>
      <c r="K127" s="18" t="str">
        <f aca="false">IFERROR(INDEX('Player Board'!$AA$5:$AA$304,MATCH(B127,'Player Board'!$A$5:$A$304,0)),"")</f>
        <v/>
      </c>
    </row>
    <row r="128" customFormat="false" ht="18" hidden="false" customHeight="true" outlineLevel="0" collapsed="false">
      <c r="A128" s="18" t="str">
        <f aca="false">IF(B128="","",ROW()-4)</f>
        <v/>
      </c>
      <c r="B128" s="43"/>
      <c r="C128" s="18" t="str">
        <f aca="false">IFERROR(INDEX('Player Board'!$G$5:$G$304,MATCH(B128,'Player Board'!$A$5:$A$304,0)),"")</f>
        <v/>
      </c>
      <c r="D128" s="43"/>
      <c r="E128" s="44"/>
      <c r="F128" s="44"/>
      <c r="G128" s="19" t="str">
        <f aca="false">IFERROR(INDEX('Player Board'!$R$5:$R$304,MATCH(B128,'Player Board'!$A$5:$A$304,0)),"")</f>
        <v/>
      </c>
      <c r="H128" s="19" t="str">
        <f aca="false">IF(E128="","",G128-E128)</f>
        <v/>
      </c>
      <c r="I128" s="43"/>
      <c r="J128" s="18" t="str">
        <f aca="false">IF(B128="","",IF(A128=MAX($A$5:$A$304),"LAST — CLEAR INPUTS TO UNDO",IF(AND(D128&lt;&gt;"",E128&lt;&gt;""),"LOGGED","INCOMPLETE")))</f>
        <v/>
      </c>
      <c r="K128" s="18" t="str">
        <f aca="false">IFERROR(INDEX('Player Board'!$AA$5:$AA$304,MATCH(B128,'Player Board'!$A$5:$A$304,0)),"")</f>
        <v/>
      </c>
    </row>
    <row r="129" customFormat="false" ht="18" hidden="false" customHeight="true" outlineLevel="0" collapsed="false">
      <c r="A129" s="18" t="str">
        <f aca="false">IF(B129="","",ROW()-4)</f>
        <v/>
      </c>
      <c r="B129" s="43"/>
      <c r="C129" s="18" t="str">
        <f aca="false">IFERROR(INDEX('Player Board'!$G$5:$G$304,MATCH(B129,'Player Board'!$A$5:$A$304,0)),"")</f>
        <v/>
      </c>
      <c r="D129" s="43"/>
      <c r="E129" s="44"/>
      <c r="F129" s="44"/>
      <c r="G129" s="19" t="str">
        <f aca="false">IFERROR(INDEX('Player Board'!$R$5:$R$304,MATCH(B129,'Player Board'!$A$5:$A$304,0)),"")</f>
        <v/>
      </c>
      <c r="H129" s="19" t="str">
        <f aca="false">IF(E129="","",G129-E129)</f>
        <v/>
      </c>
      <c r="I129" s="43"/>
      <c r="J129" s="18" t="str">
        <f aca="false">IF(B129="","",IF(A129=MAX($A$5:$A$304),"LAST — CLEAR INPUTS TO UNDO",IF(AND(D129&lt;&gt;"",E129&lt;&gt;""),"LOGGED","INCOMPLETE")))</f>
        <v/>
      </c>
      <c r="K129" s="18" t="str">
        <f aca="false">IFERROR(INDEX('Player Board'!$AA$5:$AA$304,MATCH(B129,'Player Board'!$A$5:$A$304,0)),"")</f>
        <v/>
      </c>
    </row>
    <row r="130" customFormat="false" ht="18" hidden="false" customHeight="true" outlineLevel="0" collapsed="false">
      <c r="A130" s="18" t="str">
        <f aca="false">IF(B130="","",ROW()-4)</f>
        <v/>
      </c>
      <c r="B130" s="43"/>
      <c r="C130" s="18" t="str">
        <f aca="false">IFERROR(INDEX('Player Board'!$G$5:$G$304,MATCH(B130,'Player Board'!$A$5:$A$304,0)),"")</f>
        <v/>
      </c>
      <c r="D130" s="43"/>
      <c r="E130" s="44"/>
      <c r="F130" s="44"/>
      <c r="G130" s="19" t="str">
        <f aca="false">IFERROR(INDEX('Player Board'!$R$5:$R$304,MATCH(B130,'Player Board'!$A$5:$A$304,0)),"")</f>
        <v/>
      </c>
      <c r="H130" s="19" t="str">
        <f aca="false">IF(E130="","",G130-E130)</f>
        <v/>
      </c>
      <c r="I130" s="43"/>
      <c r="J130" s="18" t="str">
        <f aca="false">IF(B130="","",IF(A130=MAX($A$5:$A$304),"LAST — CLEAR INPUTS TO UNDO",IF(AND(D130&lt;&gt;"",E130&lt;&gt;""),"LOGGED","INCOMPLETE")))</f>
        <v/>
      </c>
      <c r="K130" s="18" t="str">
        <f aca="false">IFERROR(INDEX('Player Board'!$AA$5:$AA$304,MATCH(B130,'Player Board'!$A$5:$A$304,0)),"")</f>
        <v/>
      </c>
    </row>
    <row r="131" customFormat="false" ht="18" hidden="false" customHeight="true" outlineLevel="0" collapsed="false">
      <c r="A131" s="18" t="str">
        <f aca="false">IF(B131="","",ROW()-4)</f>
        <v/>
      </c>
      <c r="B131" s="43"/>
      <c r="C131" s="18" t="str">
        <f aca="false">IFERROR(INDEX('Player Board'!$G$5:$G$304,MATCH(B131,'Player Board'!$A$5:$A$304,0)),"")</f>
        <v/>
      </c>
      <c r="D131" s="43"/>
      <c r="E131" s="44"/>
      <c r="F131" s="44"/>
      <c r="G131" s="19" t="str">
        <f aca="false">IFERROR(INDEX('Player Board'!$R$5:$R$304,MATCH(B131,'Player Board'!$A$5:$A$304,0)),"")</f>
        <v/>
      </c>
      <c r="H131" s="19" t="str">
        <f aca="false">IF(E131="","",G131-E131)</f>
        <v/>
      </c>
      <c r="I131" s="43"/>
      <c r="J131" s="18" t="str">
        <f aca="false">IF(B131="","",IF(A131=MAX($A$5:$A$304),"LAST — CLEAR INPUTS TO UNDO",IF(AND(D131&lt;&gt;"",E131&lt;&gt;""),"LOGGED","INCOMPLETE")))</f>
        <v/>
      </c>
      <c r="K131" s="18" t="str">
        <f aca="false">IFERROR(INDEX('Player Board'!$AA$5:$AA$304,MATCH(B131,'Player Board'!$A$5:$A$304,0)),"")</f>
        <v/>
      </c>
    </row>
    <row r="132" customFormat="false" ht="18" hidden="false" customHeight="true" outlineLevel="0" collapsed="false">
      <c r="A132" s="18" t="str">
        <f aca="false">IF(B132="","",ROW()-4)</f>
        <v/>
      </c>
      <c r="B132" s="43"/>
      <c r="C132" s="18" t="str">
        <f aca="false">IFERROR(INDEX('Player Board'!$G$5:$G$304,MATCH(B132,'Player Board'!$A$5:$A$304,0)),"")</f>
        <v/>
      </c>
      <c r="D132" s="43"/>
      <c r="E132" s="44"/>
      <c r="F132" s="44"/>
      <c r="G132" s="19" t="str">
        <f aca="false">IFERROR(INDEX('Player Board'!$R$5:$R$304,MATCH(B132,'Player Board'!$A$5:$A$304,0)),"")</f>
        <v/>
      </c>
      <c r="H132" s="19" t="str">
        <f aca="false">IF(E132="","",G132-E132)</f>
        <v/>
      </c>
      <c r="I132" s="43"/>
      <c r="J132" s="18" t="str">
        <f aca="false">IF(B132="","",IF(A132=MAX($A$5:$A$304),"LAST — CLEAR INPUTS TO UNDO",IF(AND(D132&lt;&gt;"",E132&lt;&gt;""),"LOGGED","INCOMPLETE")))</f>
        <v/>
      </c>
      <c r="K132" s="18" t="str">
        <f aca="false">IFERROR(INDEX('Player Board'!$AA$5:$AA$304,MATCH(B132,'Player Board'!$A$5:$A$304,0)),"")</f>
        <v/>
      </c>
    </row>
    <row r="133" customFormat="false" ht="18" hidden="false" customHeight="true" outlineLevel="0" collapsed="false">
      <c r="A133" s="18" t="str">
        <f aca="false">IF(B133="","",ROW()-4)</f>
        <v/>
      </c>
      <c r="B133" s="43"/>
      <c r="C133" s="18" t="str">
        <f aca="false">IFERROR(INDEX('Player Board'!$G$5:$G$304,MATCH(B133,'Player Board'!$A$5:$A$304,0)),"")</f>
        <v/>
      </c>
      <c r="D133" s="43"/>
      <c r="E133" s="44"/>
      <c r="F133" s="44"/>
      <c r="G133" s="19" t="str">
        <f aca="false">IFERROR(INDEX('Player Board'!$R$5:$R$304,MATCH(B133,'Player Board'!$A$5:$A$304,0)),"")</f>
        <v/>
      </c>
      <c r="H133" s="19" t="str">
        <f aca="false">IF(E133="","",G133-E133)</f>
        <v/>
      </c>
      <c r="I133" s="43"/>
      <c r="J133" s="18" t="str">
        <f aca="false">IF(B133="","",IF(A133=MAX($A$5:$A$304),"LAST — CLEAR INPUTS TO UNDO",IF(AND(D133&lt;&gt;"",E133&lt;&gt;""),"LOGGED","INCOMPLETE")))</f>
        <v/>
      </c>
      <c r="K133" s="18" t="str">
        <f aca="false">IFERROR(INDEX('Player Board'!$AA$5:$AA$304,MATCH(B133,'Player Board'!$A$5:$A$304,0)),"")</f>
        <v/>
      </c>
    </row>
    <row r="134" customFormat="false" ht="18" hidden="false" customHeight="true" outlineLevel="0" collapsed="false">
      <c r="A134" s="18" t="str">
        <f aca="false">IF(B134="","",ROW()-4)</f>
        <v/>
      </c>
      <c r="B134" s="43"/>
      <c r="C134" s="18" t="str">
        <f aca="false">IFERROR(INDEX('Player Board'!$G$5:$G$304,MATCH(B134,'Player Board'!$A$5:$A$304,0)),"")</f>
        <v/>
      </c>
      <c r="D134" s="43"/>
      <c r="E134" s="44"/>
      <c r="F134" s="44"/>
      <c r="G134" s="19" t="str">
        <f aca="false">IFERROR(INDEX('Player Board'!$R$5:$R$304,MATCH(B134,'Player Board'!$A$5:$A$304,0)),"")</f>
        <v/>
      </c>
      <c r="H134" s="19" t="str">
        <f aca="false">IF(E134="","",G134-E134)</f>
        <v/>
      </c>
      <c r="I134" s="43"/>
      <c r="J134" s="18" t="str">
        <f aca="false">IF(B134="","",IF(A134=MAX($A$5:$A$304),"LAST — CLEAR INPUTS TO UNDO",IF(AND(D134&lt;&gt;"",E134&lt;&gt;""),"LOGGED","INCOMPLETE")))</f>
        <v/>
      </c>
      <c r="K134" s="18" t="str">
        <f aca="false">IFERROR(INDEX('Player Board'!$AA$5:$AA$304,MATCH(B134,'Player Board'!$A$5:$A$304,0)),"")</f>
        <v/>
      </c>
    </row>
    <row r="135" customFormat="false" ht="18" hidden="false" customHeight="true" outlineLevel="0" collapsed="false">
      <c r="A135" s="18" t="str">
        <f aca="false">IF(B135="","",ROW()-4)</f>
        <v/>
      </c>
      <c r="B135" s="43"/>
      <c r="C135" s="18" t="str">
        <f aca="false">IFERROR(INDEX('Player Board'!$G$5:$G$304,MATCH(B135,'Player Board'!$A$5:$A$304,0)),"")</f>
        <v/>
      </c>
      <c r="D135" s="43"/>
      <c r="E135" s="44"/>
      <c r="F135" s="44"/>
      <c r="G135" s="19" t="str">
        <f aca="false">IFERROR(INDEX('Player Board'!$R$5:$R$304,MATCH(B135,'Player Board'!$A$5:$A$304,0)),"")</f>
        <v/>
      </c>
      <c r="H135" s="19" t="str">
        <f aca="false">IF(E135="","",G135-E135)</f>
        <v/>
      </c>
      <c r="I135" s="43"/>
      <c r="J135" s="18" t="str">
        <f aca="false">IF(B135="","",IF(A135=MAX($A$5:$A$304),"LAST — CLEAR INPUTS TO UNDO",IF(AND(D135&lt;&gt;"",E135&lt;&gt;""),"LOGGED","INCOMPLETE")))</f>
        <v/>
      </c>
      <c r="K135" s="18" t="str">
        <f aca="false">IFERROR(INDEX('Player Board'!$AA$5:$AA$304,MATCH(B135,'Player Board'!$A$5:$A$304,0)),"")</f>
        <v/>
      </c>
    </row>
    <row r="136" customFormat="false" ht="18" hidden="false" customHeight="true" outlineLevel="0" collapsed="false">
      <c r="A136" s="18" t="str">
        <f aca="false">IF(B136="","",ROW()-4)</f>
        <v/>
      </c>
      <c r="B136" s="43"/>
      <c r="C136" s="18" t="str">
        <f aca="false">IFERROR(INDEX('Player Board'!$G$5:$G$304,MATCH(B136,'Player Board'!$A$5:$A$304,0)),"")</f>
        <v/>
      </c>
      <c r="D136" s="43"/>
      <c r="E136" s="44"/>
      <c r="F136" s="44"/>
      <c r="G136" s="19" t="str">
        <f aca="false">IFERROR(INDEX('Player Board'!$R$5:$R$304,MATCH(B136,'Player Board'!$A$5:$A$304,0)),"")</f>
        <v/>
      </c>
      <c r="H136" s="19" t="str">
        <f aca="false">IF(E136="","",G136-E136)</f>
        <v/>
      </c>
      <c r="I136" s="43"/>
      <c r="J136" s="18" t="str">
        <f aca="false">IF(B136="","",IF(A136=MAX($A$5:$A$304),"LAST — CLEAR INPUTS TO UNDO",IF(AND(D136&lt;&gt;"",E136&lt;&gt;""),"LOGGED","INCOMPLETE")))</f>
        <v/>
      </c>
      <c r="K136" s="18" t="str">
        <f aca="false">IFERROR(INDEX('Player Board'!$AA$5:$AA$304,MATCH(B136,'Player Board'!$A$5:$A$304,0)),"")</f>
        <v/>
      </c>
    </row>
    <row r="137" customFormat="false" ht="18" hidden="false" customHeight="true" outlineLevel="0" collapsed="false">
      <c r="A137" s="18" t="str">
        <f aca="false">IF(B137="","",ROW()-4)</f>
        <v/>
      </c>
      <c r="B137" s="43"/>
      <c r="C137" s="18" t="str">
        <f aca="false">IFERROR(INDEX('Player Board'!$G$5:$G$304,MATCH(B137,'Player Board'!$A$5:$A$304,0)),"")</f>
        <v/>
      </c>
      <c r="D137" s="43"/>
      <c r="E137" s="44"/>
      <c r="F137" s="44"/>
      <c r="G137" s="19" t="str">
        <f aca="false">IFERROR(INDEX('Player Board'!$R$5:$R$304,MATCH(B137,'Player Board'!$A$5:$A$304,0)),"")</f>
        <v/>
      </c>
      <c r="H137" s="19" t="str">
        <f aca="false">IF(E137="","",G137-E137)</f>
        <v/>
      </c>
      <c r="I137" s="43"/>
      <c r="J137" s="18" t="str">
        <f aca="false">IF(B137="","",IF(A137=MAX($A$5:$A$304),"LAST — CLEAR INPUTS TO UNDO",IF(AND(D137&lt;&gt;"",E137&lt;&gt;""),"LOGGED","INCOMPLETE")))</f>
        <v/>
      </c>
      <c r="K137" s="18" t="str">
        <f aca="false">IFERROR(INDEX('Player Board'!$AA$5:$AA$304,MATCH(B137,'Player Board'!$A$5:$A$304,0)),"")</f>
        <v/>
      </c>
    </row>
    <row r="138" customFormat="false" ht="18" hidden="false" customHeight="true" outlineLevel="0" collapsed="false">
      <c r="A138" s="18" t="str">
        <f aca="false">IF(B138="","",ROW()-4)</f>
        <v/>
      </c>
      <c r="B138" s="43"/>
      <c r="C138" s="18" t="str">
        <f aca="false">IFERROR(INDEX('Player Board'!$G$5:$G$304,MATCH(B138,'Player Board'!$A$5:$A$304,0)),"")</f>
        <v/>
      </c>
      <c r="D138" s="43"/>
      <c r="E138" s="44"/>
      <c r="F138" s="44"/>
      <c r="G138" s="19" t="str">
        <f aca="false">IFERROR(INDEX('Player Board'!$R$5:$R$304,MATCH(B138,'Player Board'!$A$5:$A$304,0)),"")</f>
        <v/>
      </c>
      <c r="H138" s="19" t="str">
        <f aca="false">IF(E138="","",G138-E138)</f>
        <v/>
      </c>
      <c r="I138" s="43"/>
      <c r="J138" s="18" t="str">
        <f aca="false">IF(B138="","",IF(A138=MAX($A$5:$A$304),"LAST — CLEAR INPUTS TO UNDO",IF(AND(D138&lt;&gt;"",E138&lt;&gt;""),"LOGGED","INCOMPLETE")))</f>
        <v/>
      </c>
      <c r="K138" s="18" t="str">
        <f aca="false">IFERROR(INDEX('Player Board'!$AA$5:$AA$304,MATCH(B138,'Player Board'!$A$5:$A$304,0)),"")</f>
        <v/>
      </c>
    </row>
    <row r="139" customFormat="false" ht="18" hidden="false" customHeight="true" outlineLevel="0" collapsed="false">
      <c r="A139" s="18" t="str">
        <f aca="false">IF(B139="","",ROW()-4)</f>
        <v/>
      </c>
      <c r="B139" s="43"/>
      <c r="C139" s="18" t="str">
        <f aca="false">IFERROR(INDEX('Player Board'!$G$5:$G$304,MATCH(B139,'Player Board'!$A$5:$A$304,0)),"")</f>
        <v/>
      </c>
      <c r="D139" s="43"/>
      <c r="E139" s="44"/>
      <c r="F139" s="44"/>
      <c r="G139" s="19" t="str">
        <f aca="false">IFERROR(INDEX('Player Board'!$R$5:$R$304,MATCH(B139,'Player Board'!$A$5:$A$304,0)),"")</f>
        <v/>
      </c>
      <c r="H139" s="19" t="str">
        <f aca="false">IF(E139="","",G139-E139)</f>
        <v/>
      </c>
      <c r="I139" s="43"/>
      <c r="J139" s="18" t="str">
        <f aca="false">IF(B139="","",IF(A139=MAX($A$5:$A$304),"LAST — CLEAR INPUTS TO UNDO",IF(AND(D139&lt;&gt;"",E139&lt;&gt;""),"LOGGED","INCOMPLETE")))</f>
        <v/>
      </c>
      <c r="K139" s="18" t="str">
        <f aca="false">IFERROR(INDEX('Player Board'!$AA$5:$AA$304,MATCH(B139,'Player Board'!$A$5:$A$304,0)),"")</f>
        <v/>
      </c>
    </row>
    <row r="140" customFormat="false" ht="18" hidden="false" customHeight="true" outlineLevel="0" collapsed="false">
      <c r="A140" s="18" t="str">
        <f aca="false">IF(B140="","",ROW()-4)</f>
        <v/>
      </c>
      <c r="B140" s="43"/>
      <c r="C140" s="18" t="str">
        <f aca="false">IFERROR(INDEX('Player Board'!$G$5:$G$304,MATCH(B140,'Player Board'!$A$5:$A$304,0)),"")</f>
        <v/>
      </c>
      <c r="D140" s="43"/>
      <c r="E140" s="44"/>
      <c r="F140" s="44"/>
      <c r="G140" s="19" t="str">
        <f aca="false">IFERROR(INDEX('Player Board'!$R$5:$R$304,MATCH(B140,'Player Board'!$A$5:$A$304,0)),"")</f>
        <v/>
      </c>
      <c r="H140" s="19" t="str">
        <f aca="false">IF(E140="","",G140-E140)</f>
        <v/>
      </c>
      <c r="I140" s="43"/>
      <c r="J140" s="18" t="str">
        <f aca="false">IF(B140="","",IF(A140=MAX($A$5:$A$304),"LAST — CLEAR INPUTS TO UNDO",IF(AND(D140&lt;&gt;"",E140&lt;&gt;""),"LOGGED","INCOMPLETE")))</f>
        <v/>
      </c>
      <c r="K140" s="18" t="str">
        <f aca="false">IFERROR(INDEX('Player Board'!$AA$5:$AA$304,MATCH(B140,'Player Board'!$A$5:$A$304,0)),"")</f>
        <v/>
      </c>
    </row>
    <row r="141" customFormat="false" ht="18" hidden="false" customHeight="true" outlineLevel="0" collapsed="false">
      <c r="A141" s="18" t="str">
        <f aca="false">IF(B141="","",ROW()-4)</f>
        <v/>
      </c>
      <c r="B141" s="43"/>
      <c r="C141" s="18" t="str">
        <f aca="false">IFERROR(INDEX('Player Board'!$G$5:$G$304,MATCH(B141,'Player Board'!$A$5:$A$304,0)),"")</f>
        <v/>
      </c>
      <c r="D141" s="43"/>
      <c r="E141" s="44"/>
      <c r="F141" s="44"/>
      <c r="G141" s="19" t="str">
        <f aca="false">IFERROR(INDEX('Player Board'!$R$5:$R$304,MATCH(B141,'Player Board'!$A$5:$A$304,0)),"")</f>
        <v/>
      </c>
      <c r="H141" s="19" t="str">
        <f aca="false">IF(E141="","",G141-E141)</f>
        <v/>
      </c>
      <c r="I141" s="43"/>
      <c r="J141" s="18" t="str">
        <f aca="false">IF(B141="","",IF(A141=MAX($A$5:$A$304),"LAST — CLEAR INPUTS TO UNDO",IF(AND(D141&lt;&gt;"",E141&lt;&gt;""),"LOGGED","INCOMPLETE")))</f>
        <v/>
      </c>
      <c r="K141" s="18" t="str">
        <f aca="false">IFERROR(INDEX('Player Board'!$AA$5:$AA$304,MATCH(B141,'Player Board'!$A$5:$A$304,0)),"")</f>
        <v/>
      </c>
    </row>
    <row r="142" customFormat="false" ht="18" hidden="false" customHeight="true" outlineLevel="0" collapsed="false">
      <c r="A142" s="18" t="str">
        <f aca="false">IF(B142="","",ROW()-4)</f>
        <v/>
      </c>
      <c r="B142" s="43"/>
      <c r="C142" s="18" t="str">
        <f aca="false">IFERROR(INDEX('Player Board'!$G$5:$G$304,MATCH(B142,'Player Board'!$A$5:$A$304,0)),"")</f>
        <v/>
      </c>
      <c r="D142" s="43"/>
      <c r="E142" s="44"/>
      <c r="F142" s="44"/>
      <c r="G142" s="19" t="str">
        <f aca="false">IFERROR(INDEX('Player Board'!$R$5:$R$304,MATCH(B142,'Player Board'!$A$5:$A$304,0)),"")</f>
        <v/>
      </c>
      <c r="H142" s="19" t="str">
        <f aca="false">IF(E142="","",G142-E142)</f>
        <v/>
      </c>
      <c r="I142" s="43"/>
      <c r="J142" s="18" t="str">
        <f aca="false">IF(B142="","",IF(A142=MAX($A$5:$A$304),"LAST — CLEAR INPUTS TO UNDO",IF(AND(D142&lt;&gt;"",E142&lt;&gt;""),"LOGGED","INCOMPLETE")))</f>
        <v/>
      </c>
      <c r="K142" s="18" t="str">
        <f aca="false">IFERROR(INDEX('Player Board'!$AA$5:$AA$304,MATCH(B142,'Player Board'!$A$5:$A$304,0)),"")</f>
        <v/>
      </c>
    </row>
    <row r="143" customFormat="false" ht="18" hidden="false" customHeight="true" outlineLevel="0" collapsed="false">
      <c r="A143" s="18" t="str">
        <f aca="false">IF(B143="","",ROW()-4)</f>
        <v/>
      </c>
      <c r="B143" s="43"/>
      <c r="C143" s="18" t="str">
        <f aca="false">IFERROR(INDEX('Player Board'!$G$5:$G$304,MATCH(B143,'Player Board'!$A$5:$A$304,0)),"")</f>
        <v/>
      </c>
      <c r="D143" s="43"/>
      <c r="E143" s="44"/>
      <c r="F143" s="44"/>
      <c r="G143" s="19" t="str">
        <f aca="false">IFERROR(INDEX('Player Board'!$R$5:$R$304,MATCH(B143,'Player Board'!$A$5:$A$304,0)),"")</f>
        <v/>
      </c>
      <c r="H143" s="19" t="str">
        <f aca="false">IF(E143="","",G143-E143)</f>
        <v/>
      </c>
      <c r="I143" s="43"/>
      <c r="J143" s="18" t="str">
        <f aca="false">IF(B143="","",IF(A143=MAX($A$5:$A$304),"LAST — CLEAR INPUTS TO UNDO",IF(AND(D143&lt;&gt;"",E143&lt;&gt;""),"LOGGED","INCOMPLETE")))</f>
        <v/>
      </c>
      <c r="K143" s="18" t="str">
        <f aca="false">IFERROR(INDEX('Player Board'!$AA$5:$AA$304,MATCH(B143,'Player Board'!$A$5:$A$304,0)),"")</f>
        <v/>
      </c>
    </row>
    <row r="144" customFormat="false" ht="18" hidden="false" customHeight="true" outlineLevel="0" collapsed="false">
      <c r="A144" s="18" t="str">
        <f aca="false">IF(B144="","",ROW()-4)</f>
        <v/>
      </c>
      <c r="B144" s="43"/>
      <c r="C144" s="18" t="str">
        <f aca="false">IFERROR(INDEX('Player Board'!$G$5:$G$304,MATCH(B144,'Player Board'!$A$5:$A$304,0)),"")</f>
        <v/>
      </c>
      <c r="D144" s="43"/>
      <c r="E144" s="44"/>
      <c r="F144" s="44"/>
      <c r="G144" s="19" t="str">
        <f aca="false">IFERROR(INDEX('Player Board'!$R$5:$R$304,MATCH(B144,'Player Board'!$A$5:$A$304,0)),"")</f>
        <v/>
      </c>
      <c r="H144" s="19" t="str">
        <f aca="false">IF(E144="","",G144-E144)</f>
        <v/>
      </c>
      <c r="I144" s="43"/>
      <c r="J144" s="18" t="str">
        <f aca="false">IF(B144="","",IF(A144=MAX($A$5:$A$304),"LAST — CLEAR INPUTS TO UNDO",IF(AND(D144&lt;&gt;"",E144&lt;&gt;""),"LOGGED","INCOMPLETE")))</f>
        <v/>
      </c>
      <c r="K144" s="18" t="str">
        <f aca="false">IFERROR(INDEX('Player Board'!$AA$5:$AA$304,MATCH(B144,'Player Board'!$A$5:$A$304,0)),"")</f>
        <v/>
      </c>
    </row>
    <row r="145" customFormat="false" ht="18" hidden="false" customHeight="true" outlineLevel="0" collapsed="false">
      <c r="A145" s="18" t="str">
        <f aca="false">IF(B145="","",ROW()-4)</f>
        <v/>
      </c>
      <c r="B145" s="43"/>
      <c r="C145" s="18" t="str">
        <f aca="false">IFERROR(INDEX('Player Board'!$G$5:$G$304,MATCH(B145,'Player Board'!$A$5:$A$304,0)),"")</f>
        <v/>
      </c>
      <c r="D145" s="43"/>
      <c r="E145" s="44"/>
      <c r="F145" s="44"/>
      <c r="G145" s="19" t="str">
        <f aca="false">IFERROR(INDEX('Player Board'!$R$5:$R$304,MATCH(B145,'Player Board'!$A$5:$A$304,0)),"")</f>
        <v/>
      </c>
      <c r="H145" s="19" t="str">
        <f aca="false">IF(E145="","",G145-E145)</f>
        <v/>
      </c>
      <c r="I145" s="43"/>
      <c r="J145" s="18" t="str">
        <f aca="false">IF(B145="","",IF(A145=MAX($A$5:$A$304),"LAST — CLEAR INPUTS TO UNDO",IF(AND(D145&lt;&gt;"",E145&lt;&gt;""),"LOGGED","INCOMPLETE")))</f>
        <v/>
      </c>
      <c r="K145" s="18" t="str">
        <f aca="false">IFERROR(INDEX('Player Board'!$AA$5:$AA$304,MATCH(B145,'Player Board'!$A$5:$A$304,0)),"")</f>
        <v/>
      </c>
    </row>
    <row r="146" customFormat="false" ht="18" hidden="false" customHeight="true" outlineLevel="0" collapsed="false">
      <c r="A146" s="18" t="str">
        <f aca="false">IF(B146="","",ROW()-4)</f>
        <v/>
      </c>
      <c r="B146" s="43"/>
      <c r="C146" s="18" t="str">
        <f aca="false">IFERROR(INDEX('Player Board'!$G$5:$G$304,MATCH(B146,'Player Board'!$A$5:$A$304,0)),"")</f>
        <v/>
      </c>
      <c r="D146" s="43"/>
      <c r="E146" s="44"/>
      <c r="F146" s="44"/>
      <c r="G146" s="19" t="str">
        <f aca="false">IFERROR(INDEX('Player Board'!$R$5:$R$304,MATCH(B146,'Player Board'!$A$5:$A$304,0)),"")</f>
        <v/>
      </c>
      <c r="H146" s="19" t="str">
        <f aca="false">IF(E146="","",G146-E146)</f>
        <v/>
      </c>
      <c r="I146" s="43"/>
      <c r="J146" s="18" t="str">
        <f aca="false">IF(B146="","",IF(A146=MAX($A$5:$A$304),"LAST — CLEAR INPUTS TO UNDO",IF(AND(D146&lt;&gt;"",E146&lt;&gt;""),"LOGGED","INCOMPLETE")))</f>
        <v/>
      </c>
      <c r="K146" s="18" t="str">
        <f aca="false">IFERROR(INDEX('Player Board'!$AA$5:$AA$304,MATCH(B146,'Player Board'!$A$5:$A$304,0)),"")</f>
        <v/>
      </c>
    </row>
    <row r="147" customFormat="false" ht="18" hidden="false" customHeight="true" outlineLevel="0" collapsed="false">
      <c r="A147" s="18" t="str">
        <f aca="false">IF(B147="","",ROW()-4)</f>
        <v/>
      </c>
      <c r="B147" s="43"/>
      <c r="C147" s="18" t="str">
        <f aca="false">IFERROR(INDEX('Player Board'!$G$5:$G$304,MATCH(B147,'Player Board'!$A$5:$A$304,0)),"")</f>
        <v/>
      </c>
      <c r="D147" s="43"/>
      <c r="E147" s="44"/>
      <c r="F147" s="44"/>
      <c r="G147" s="19" t="str">
        <f aca="false">IFERROR(INDEX('Player Board'!$R$5:$R$304,MATCH(B147,'Player Board'!$A$5:$A$304,0)),"")</f>
        <v/>
      </c>
      <c r="H147" s="19" t="str">
        <f aca="false">IF(E147="","",G147-E147)</f>
        <v/>
      </c>
      <c r="I147" s="43"/>
      <c r="J147" s="18" t="str">
        <f aca="false">IF(B147="","",IF(A147=MAX($A$5:$A$304),"LAST — CLEAR INPUTS TO UNDO",IF(AND(D147&lt;&gt;"",E147&lt;&gt;""),"LOGGED","INCOMPLETE")))</f>
        <v/>
      </c>
      <c r="K147" s="18" t="str">
        <f aca="false">IFERROR(INDEX('Player Board'!$AA$5:$AA$304,MATCH(B147,'Player Board'!$A$5:$A$304,0)),"")</f>
        <v/>
      </c>
    </row>
    <row r="148" customFormat="false" ht="18" hidden="false" customHeight="true" outlineLevel="0" collapsed="false">
      <c r="A148" s="18" t="str">
        <f aca="false">IF(B148="","",ROW()-4)</f>
        <v/>
      </c>
      <c r="B148" s="43"/>
      <c r="C148" s="18" t="str">
        <f aca="false">IFERROR(INDEX('Player Board'!$G$5:$G$304,MATCH(B148,'Player Board'!$A$5:$A$304,0)),"")</f>
        <v/>
      </c>
      <c r="D148" s="43"/>
      <c r="E148" s="44"/>
      <c r="F148" s="44"/>
      <c r="G148" s="19" t="str">
        <f aca="false">IFERROR(INDEX('Player Board'!$R$5:$R$304,MATCH(B148,'Player Board'!$A$5:$A$304,0)),"")</f>
        <v/>
      </c>
      <c r="H148" s="19" t="str">
        <f aca="false">IF(E148="","",G148-E148)</f>
        <v/>
      </c>
      <c r="I148" s="43"/>
      <c r="J148" s="18" t="str">
        <f aca="false">IF(B148="","",IF(A148=MAX($A$5:$A$304),"LAST — CLEAR INPUTS TO UNDO",IF(AND(D148&lt;&gt;"",E148&lt;&gt;""),"LOGGED","INCOMPLETE")))</f>
        <v/>
      </c>
      <c r="K148" s="18" t="str">
        <f aca="false">IFERROR(INDEX('Player Board'!$AA$5:$AA$304,MATCH(B148,'Player Board'!$A$5:$A$304,0)),"")</f>
        <v/>
      </c>
    </row>
    <row r="149" customFormat="false" ht="18" hidden="false" customHeight="true" outlineLevel="0" collapsed="false">
      <c r="A149" s="18" t="str">
        <f aca="false">IF(B149="","",ROW()-4)</f>
        <v/>
      </c>
      <c r="B149" s="43"/>
      <c r="C149" s="18" t="str">
        <f aca="false">IFERROR(INDEX('Player Board'!$G$5:$G$304,MATCH(B149,'Player Board'!$A$5:$A$304,0)),"")</f>
        <v/>
      </c>
      <c r="D149" s="43"/>
      <c r="E149" s="44"/>
      <c r="F149" s="44"/>
      <c r="G149" s="19" t="str">
        <f aca="false">IFERROR(INDEX('Player Board'!$R$5:$R$304,MATCH(B149,'Player Board'!$A$5:$A$304,0)),"")</f>
        <v/>
      </c>
      <c r="H149" s="19" t="str">
        <f aca="false">IF(E149="","",G149-E149)</f>
        <v/>
      </c>
      <c r="I149" s="43"/>
      <c r="J149" s="18" t="str">
        <f aca="false">IF(B149="","",IF(A149=MAX($A$5:$A$304),"LAST — CLEAR INPUTS TO UNDO",IF(AND(D149&lt;&gt;"",E149&lt;&gt;""),"LOGGED","INCOMPLETE")))</f>
        <v/>
      </c>
      <c r="K149" s="18" t="str">
        <f aca="false">IFERROR(INDEX('Player Board'!$AA$5:$AA$304,MATCH(B149,'Player Board'!$A$5:$A$304,0)),"")</f>
        <v/>
      </c>
    </row>
    <row r="150" customFormat="false" ht="18" hidden="false" customHeight="true" outlineLevel="0" collapsed="false">
      <c r="A150" s="18" t="str">
        <f aca="false">IF(B150="","",ROW()-4)</f>
        <v/>
      </c>
      <c r="B150" s="43"/>
      <c r="C150" s="18" t="str">
        <f aca="false">IFERROR(INDEX('Player Board'!$G$5:$G$304,MATCH(B150,'Player Board'!$A$5:$A$304,0)),"")</f>
        <v/>
      </c>
      <c r="D150" s="43"/>
      <c r="E150" s="44"/>
      <c r="F150" s="44"/>
      <c r="G150" s="19" t="str">
        <f aca="false">IFERROR(INDEX('Player Board'!$R$5:$R$304,MATCH(B150,'Player Board'!$A$5:$A$304,0)),"")</f>
        <v/>
      </c>
      <c r="H150" s="19" t="str">
        <f aca="false">IF(E150="","",G150-E150)</f>
        <v/>
      </c>
      <c r="I150" s="43"/>
      <c r="J150" s="18" t="str">
        <f aca="false">IF(B150="","",IF(A150=MAX($A$5:$A$304),"LAST — CLEAR INPUTS TO UNDO",IF(AND(D150&lt;&gt;"",E150&lt;&gt;""),"LOGGED","INCOMPLETE")))</f>
        <v/>
      </c>
      <c r="K150" s="18" t="str">
        <f aca="false">IFERROR(INDEX('Player Board'!$AA$5:$AA$304,MATCH(B150,'Player Board'!$A$5:$A$304,0)),"")</f>
        <v/>
      </c>
    </row>
    <row r="151" customFormat="false" ht="18" hidden="false" customHeight="true" outlineLevel="0" collapsed="false">
      <c r="A151" s="18" t="str">
        <f aca="false">IF(B151="","",ROW()-4)</f>
        <v/>
      </c>
      <c r="B151" s="43"/>
      <c r="C151" s="18" t="str">
        <f aca="false">IFERROR(INDEX('Player Board'!$G$5:$G$304,MATCH(B151,'Player Board'!$A$5:$A$304,0)),"")</f>
        <v/>
      </c>
      <c r="D151" s="43"/>
      <c r="E151" s="44"/>
      <c r="F151" s="44"/>
      <c r="G151" s="19" t="str">
        <f aca="false">IFERROR(INDEX('Player Board'!$R$5:$R$304,MATCH(B151,'Player Board'!$A$5:$A$304,0)),"")</f>
        <v/>
      </c>
      <c r="H151" s="19" t="str">
        <f aca="false">IF(E151="","",G151-E151)</f>
        <v/>
      </c>
      <c r="I151" s="43"/>
      <c r="J151" s="18" t="str">
        <f aca="false">IF(B151="","",IF(A151=MAX($A$5:$A$304),"LAST — CLEAR INPUTS TO UNDO",IF(AND(D151&lt;&gt;"",E151&lt;&gt;""),"LOGGED","INCOMPLETE")))</f>
        <v/>
      </c>
      <c r="K151" s="18" t="str">
        <f aca="false">IFERROR(INDEX('Player Board'!$AA$5:$AA$304,MATCH(B151,'Player Board'!$A$5:$A$304,0)),"")</f>
        <v/>
      </c>
    </row>
    <row r="152" customFormat="false" ht="18" hidden="false" customHeight="true" outlineLevel="0" collapsed="false">
      <c r="A152" s="18" t="str">
        <f aca="false">IF(B152="","",ROW()-4)</f>
        <v/>
      </c>
      <c r="B152" s="43"/>
      <c r="C152" s="18" t="str">
        <f aca="false">IFERROR(INDEX('Player Board'!$G$5:$G$304,MATCH(B152,'Player Board'!$A$5:$A$304,0)),"")</f>
        <v/>
      </c>
      <c r="D152" s="43"/>
      <c r="E152" s="44"/>
      <c r="F152" s="44"/>
      <c r="G152" s="19" t="str">
        <f aca="false">IFERROR(INDEX('Player Board'!$R$5:$R$304,MATCH(B152,'Player Board'!$A$5:$A$304,0)),"")</f>
        <v/>
      </c>
      <c r="H152" s="19" t="str">
        <f aca="false">IF(E152="","",G152-E152)</f>
        <v/>
      </c>
      <c r="I152" s="43"/>
      <c r="J152" s="18" t="str">
        <f aca="false">IF(B152="","",IF(A152=MAX($A$5:$A$304),"LAST — CLEAR INPUTS TO UNDO",IF(AND(D152&lt;&gt;"",E152&lt;&gt;""),"LOGGED","INCOMPLETE")))</f>
        <v/>
      </c>
      <c r="K152" s="18" t="str">
        <f aca="false">IFERROR(INDEX('Player Board'!$AA$5:$AA$304,MATCH(B152,'Player Board'!$A$5:$A$304,0)),"")</f>
        <v/>
      </c>
    </row>
    <row r="153" customFormat="false" ht="18" hidden="false" customHeight="true" outlineLevel="0" collapsed="false">
      <c r="A153" s="18" t="str">
        <f aca="false">IF(B153="","",ROW()-4)</f>
        <v/>
      </c>
      <c r="B153" s="43"/>
      <c r="C153" s="18" t="str">
        <f aca="false">IFERROR(INDEX('Player Board'!$G$5:$G$304,MATCH(B153,'Player Board'!$A$5:$A$304,0)),"")</f>
        <v/>
      </c>
      <c r="D153" s="43"/>
      <c r="E153" s="44"/>
      <c r="F153" s="44"/>
      <c r="G153" s="19" t="str">
        <f aca="false">IFERROR(INDEX('Player Board'!$R$5:$R$304,MATCH(B153,'Player Board'!$A$5:$A$304,0)),"")</f>
        <v/>
      </c>
      <c r="H153" s="19" t="str">
        <f aca="false">IF(E153="","",G153-E153)</f>
        <v/>
      </c>
      <c r="I153" s="43"/>
      <c r="J153" s="18" t="str">
        <f aca="false">IF(B153="","",IF(A153=MAX($A$5:$A$304),"LAST — CLEAR INPUTS TO UNDO",IF(AND(D153&lt;&gt;"",E153&lt;&gt;""),"LOGGED","INCOMPLETE")))</f>
        <v/>
      </c>
      <c r="K153" s="18" t="str">
        <f aca="false">IFERROR(INDEX('Player Board'!$AA$5:$AA$304,MATCH(B153,'Player Board'!$A$5:$A$304,0)),"")</f>
        <v/>
      </c>
    </row>
    <row r="154" customFormat="false" ht="18" hidden="false" customHeight="true" outlineLevel="0" collapsed="false">
      <c r="A154" s="18" t="str">
        <f aca="false">IF(B154="","",ROW()-4)</f>
        <v/>
      </c>
      <c r="B154" s="43"/>
      <c r="C154" s="18" t="str">
        <f aca="false">IFERROR(INDEX('Player Board'!$G$5:$G$304,MATCH(B154,'Player Board'!$A$5:$A$304,0)),"")</f>
        <v/>
      </c>
      <c r="D154" s="43"/>
      <c r="E154" s="44"/>
      <c r="F154" s="44"/>
      <c r="G154" s="19" t="str">
        <f aca="false">IFERROR(INDEX('Player Board'!$R$5:$R$304,MATCH(B154,'Player Board'!$A$5:$A$304,0)),"")</f>
        <v/>
      </c>
      <c r="H154" s="19" t="str">
        <f aca="false">IF(E154="","",G154-E154)</f>
        <v/>
      </c>
      <c r="I154" s="43"/>
      <c r="J154" s="18" t="str">
        <f aca="false">IF(B154="","",IF(A154=MAX($A$5:$A$304),"LAST — CLEAR INPUTS TO UNDO",IF(AND(D154&lt;&gt;"",E154&lt;&gt;""),"LOGGED","INCOMPLETE")))</f>
        <v/>
      </c>
      <c r="K154" s="18" t="str">
        <f aca="false">IFERROR(INDEX('Player Board'!$AA$5:$AA$304,MATCH(B154,'Player Board'!$A$5:$A$304,0)),"")</f>
        <v/>
      </c>
    </row>
    <row r="155" customFormat="false" ht="18" hidden="false" customHeight="true" outlineLevel="0" collapsed="false">
      <c r="A155" s="18" t="str">
        <f aca="false">IF(B155="","",ROW()-4)</f>
        <v/>
      </c>
      <c r="B155" s="43"/>
      <c r="C155" s="18" t="str">
        <f aca="false">IFERROR(INDEX('Player Board'!$G$5:$G$304,MATCH(B155,'Player Board'!$A$5:$A$304,0)),"")</f>
        <v/>
      </c>
      <c r="D155" s="43"/>
      <c r="E155" s="44"/>
      <c r="F155" s="44"/>
      <c r="G155" s="19" t="str">
        <f aca="false">IFERROR(INDEX('Player Board'!$R$5:$R$304,MATCH(B155,'Player Board'!$A$5:$A$304,0)),"")</f>
        <v/>
      </c>
      <c r="H155" s="19" t="str">
        <f aca="false">IF(E155="","",G155-E155)</f>
        <v/>
      </c>
      <c r="I155" s="43"/>
      <c r="J155" s="18" t="str">
        <f aca="false">IF(B155="","",IF(A155=MAX($A$5:$A$304),"LAST — CLEAR INPUTS TO UNDO",IF(AND(D155&lt;&gt;"",E155&lt;&gt;""),"LOGGED","INCOMPLETE")))</f>
        <v/>
      </c>
      <c r="K155" s="18" t="str">
        <f aca="false">IFERROR(INDEX('Player Board'!$AA$5:$AA$304,MATCH(B155,'Player Board'!$A$5:$A$304,0)),"")</f>
        <v/>
      </c>
    </row>
    <row r="156" customFormat="false" ht="18" hidden="false" customHeight="true" outlineLevel="0" collapsed="false">
      <c r="A156" s="18" t="str">
        <f aca="false">IF(B156="","",ROW()-4)</f>
        <v/>
      </c>
      <c r="B156" s="43"/>
      <c r="C156" s="18" t="str">
        <f aca="false">IFERROR(INDEX('Player Board'!$G$5:$G$304,MATCH(B156,'Player Board'!$A$5:$A$304,0)),"")</f>
        <v/>
      </c>
      <c r="D156" s="43"/>
      <c r="E156" s="44"/>
      <c r="F156" s="44"/>
      <c r="G156" s="19" t="str">
        <f aca="false">IFERROR(INDEX('Player Board'!$R$5:$R$304,MATCH(B156,'Player Board'!$A$5:$A$304,0)),"")</f>
        <v/>
      </c>
      <c r="H156" s="19" t="str">
        <f aca="false">IF(E156="","",G156-E156)</f>
        <v/>
      </c>
      <c r="I156" s="43"/>
      <c r="J156" s="18" t="str">
        <f aca="false">IF(B156="","",IF(A156=MAX($A$5:$A$304),"LAST — CLEAR INPUTS TO UNDO",IF(AND(D156&lt;&gt;"",E156&lt;&gt;""),"LOGGED","INCOMPLETE")))</f>
        <v/>
      </c>
      <c r="K156" s="18" t="str">
        <f aca="false">IFERROR(INDEX('Player Board'!$AA$5:$AA$304,MATCH(B156,'Player Board'!$A$5:$A$304,0)),"")</f>
        <v/>
      </c>
    </row>
    <row r="157" customFormat="false" ht="18" hidden="false" customHeight="true" outlineLevel="0" collapsed="false">
      <c r="A157" s="18" t="str">
        <f aca="false">IF(B157="","",ROW()-4)</f>
        <v/>
      </c>
      <c r="B157" s="43"/>
      <c r="C157" s="18" t="str">
        <f aca="false">IFERROR(INDEX('Player Board'!$G$5:$G$304,MATCH(B157,'Player Board'!$A$5:$A$304,0)),"")</f>
        <v/>
      </c>
      <c r="D157" s="43"/>
      <c r="E157" s="44"/>
      <c r="F157" s="44"/>
      <c r="G157" s="19" t="str">
        <f aca="false">IFERROR(INDEX('Player Board'!$R$5:$R$304,MATCH(B157,'Player Board'!$A$5:$A$304,0)),"")</f>
        <v/>
      </c>
      <c r="H157" s="19" t="str">
        <f aca="false">IF(E157="","",G157-E157)</f>
        <v/>
      </c>
      <c r="I157" s="43"/>
      <c r="J157" s="18" t="str">
        <f aca="false">IF(B157="","",IF(A157=MAX($A$5:$A$304),"LAST — CLEAR INPUTS TO UNDO",IF(AND(D157&lt;&gt;"",E157&lt;&gt;""),"LOGGED","INCOMPLETE")))</f>
        <v/>
      </c>
      <c r="K157" s="18" t="str">
        <f aca="false">IFERROR(INDEX('Player Board'!$AA$5:$AA$304,MATCH(B157,'Player Board'!$A$5:$A$304,0)),"")</f>
        <v/>
      </c>
    </row>
    <row r="158" customFormat="false" ht="18" hidden="false" customHeight="true" outlineLevel="0" collapsed="false">
      <c r="A158" s="18" t="str">
        <f aca="false">IF(B158="","",ROW()-4)</f>
        <v/>
      </c>
      <c r="B158" s="43"/>
      <c r="C158" s="18" t="str">
        <f aca="false">IFERROR(INDEX('Player Board'!$G$5:$G$304,MATCH(B158,'Player Board'!$A$5:$A$304,0)),"")</f>
        <v/>
      </c>
      <c r="D158" s="43"/>
      <c r="E158" s="44"/>
      <c r="F158" s="44"/>
      <c r="G158" s="19" t="str">
        <f aca="false">IFERROR(INDEX('Player Board'!$R$5:$R$304,MATCH(B158,'Player Board'!$A$5:$A$304,0)),"")</f>
        <v/>
      </c>
      <c r="H158" s="19" t="str">
        <f aca="false">IF(E158="","",G158-E158)</f>
        <v/>
      </c>
      <c r="I158" s="43"/>
      <c r="J158" s="18" t="str">
        <f aca="false">IF(B158="","",IF(A158=MAX($A$5:$A$304),"LAST — CLEAR INPUTS TO UNDO",IF(AND(D158&lt;&gt;"",E158&lt;&gt;""),"LOGGED","INCOMPLETE")))</f>
        <v/>
      </c>
      <c r="K158" s="18" t="str">
        <f aca="false">IFERROR(INDEX('Player Board'!$AA$5:$AA$304,MATCH(B158,'Player Board'!$A$5:$A$304,0)),"")</f>
        <v/>
      </c>
    </row>
    <row r="159" customFormat="false" ht="18" hidden="false" customHeight="true" outlineLevel="0" collapsed="false">
      <c r="A159" s="18" t="str">
        <f aca="false">IF(B159="","",ROW()-4)</f>
        <v/>
      </c>
      <c r="B159" s="43"/>
      <c r="C159" s="18" t="str">
        <f aca="false">IFERROR(INDEX('Player Board'!$G$5:$G$304,MATCH(B159,'Player Board'!$A$5:$A$304,0)),"")</f>
        <v/>
      </c>
      <c r="D159" s="43"/>
      <c r="E159" s="44"/>
      <c r="F159" s="44"/>
      <c r="G159" s="19" t="str">
        <f aca="false">IFERROR(INDEX('Player Board'!$R$5:$R$304,MATCH(B159,'Player Board'!$A$5:$A$304,0)),"")</f>
        <v/>
      </c>
      <c r="H159" s="19" t="str">
        <f aca="false">IF(E159="","",G159-E159)</f>
        <v/>
      </c>
      <c r="I159" s="43"/>
      <c r="J159" s="18" t="str">
        <f aca="false">IF(B159="","",IF(A159=MAX($A$5:$A$304),"LAST — CLEAR INPUTS TO UNDO",IF(AND(D159&lt;&gt;"",E159&lt;&gt;""),"LOGGED","INCOMPLETE")))</f>
        <v/>
      </c>
      <c r="K159" s="18" t="str">
        <f aca="false">IFERROR(INDEX('Player Board'!$AA$5:$AA$304,MATCH(B159,'Player Board'!$A$5:$A$304,0)),"")</f>
        <v/>
      </c>
    </row>
    <row r="160" customFormat="false" ht="18" hidden="false" customHeight="true" outlineLevel="0" collapsed="false">
      <c r="A160" s="18" t="str">
        <f aca="false">IF(B160="","",ROW()-4)</f>
        <v/>
      </c>
      <c r="B160" s="43"/>
      <c r="C160" s="18" t="str">
        <f aca="false">IFERROR(INDEX('Player Board'!$G$5:$G$304,MATCH(B160,'Player Board'!$A$5:$A$304,0)),"")</f>
        <v/>
      </c>
      <c r="D160" s="43"/>
      <c r="E160" s="44"/>
      <c r="F160" s="44"/>
      <c r="G160" s="19" t="str">
        <f aca="false">IFERROR(INDEX('Player Board'!$R$5:$R$304,MATCH(B160,'Player Board'!$A$5:$A$304,0)),"")</f>
        <v/>
      </c>
      <c r="H160" s="19" t="str">
        <f aca="false">IF(E160="","",G160-E160)</f>
        <v/>
      </c>
      <c r="I160" s="43"/>
      <c r="J160" s="18" t="str">
        <f aca="false">IF(B160="","",IF(A160=MAX($A$5:$A$304),"LAST — CLEAR INPUTS TO UNDO",IF(AND(D160&lt;&gt;"",E160&lt;&gt;""),"LOGGED","INCOMPLETE")))</f>
        <v/>
      </c>
      <c r="K160" s="18" t="str">
        <f aca="false">IFERROR(INDEX('Player Board'!$AA$5:$AA$304,MATCH(B160,'Player Board'!$A$5:$A$304,0)),"")</f>
        <v/>
      </c>
    </row>
    <row r="161" customFormat="false" ht="18" hidden="false" customHeight="true" outlineLevel="0" collapsed="false">
      <c r="A161" s="18" t="str">
        <f aca="false">IF(B161="","",ROW()-4)</f>
        <v/>
      </c>
      <c r="B161" s="43"/>
      <c r="C161" s="18" t="str">
        <f aca="false">IFERROR(INDEX('Player Board'!$G$5:$G$304,MATCH(B161,'Player Board'!$A$5:$A$304,0)),"")</f>
        <v/>
      </c>
      <c r="D161" s="43"/>
      <c r="E161" s="44"/>
      <c r="F161" s="44"/>
      <c r="G161" s="19" t="str">
        <f aca="false">IFERROR(INDEX('Player Board'!$R$5:$R$304,MATCH(B161,'Player Board'!$A$5:$A$304,0)),"")</f>
        <v/>
      </c>
      <c r="H161" s="19" t="str">
        <f aca="false">IF(E161="","",G161-E161)</f>
        <v/>
      </c>
      <c r="I161" s="43"/>
      <c r="J161" s="18" t="str">
        <f aca="false">IF(B161="","",IF(A161=MAX($A$5:$A$304),"LAST — CLEAR INPUTS TO UNDO",IF(AND(D161&lt;&gt;"",E161&lt;&gt;""),"LOGGED","INCOMPLETE")))</f>
        <v/>
      </c>
      <c r="K161" s="18" t="str">
        <f aca="false">IFERROR(INDEX('Player Board'!$AA$5:$AA$304,MATCH(B161,'Player Board'!$A$5:$A$304,0)),"")</f>
        <v/>
      </c>
    </row>
    <row r="162" customFormat="false" ht="18" hidden="false" customHeight="true" outlineLevel="0" collapsed="false">
      <c r="A162" s="18" t="str">
        <f aca="false">IF(B162="","",ROW()-4)</f>
        <v/>
      </c>
      <c r="B162" s="43"/>
      <c r="C162" s="18" t="str">
        <f aca="false">IFERROR(INDEX('Player Board'!$G$5:$G$304,MATCH(B162,'Player Board'!$A$5:$A$304,0)),"")</f>
        <v/>
      </c>
      <c r="D162" s="43"/>
      <c r="E162" s="44"/>
      <c r="F162" s="44"/>
      <c r="G162" s="19" t="str">
        <f aca="false">IFERROR(INDEX('Player Board'!$R$5:$R$304,MATCH(B162,'Player Board'!$A$5:$A$304,0)),"")</f>
        <v/>
      </c>
      <c r="H162" s="19" t="str">
        <f aca="false">IF(E162="","",G162-E162)</f>
        <v/>
      </c>
      <c r="I162" s="43"/>
      <c r="J162" s="18" t="str">
        <f aca="false">IF(B162="","",IF(A162=MAX($A$5:$A$304),"LAST — CLEAR INPUTS TO UNDO",IF(AND(D162&lt;&gt;"",E162&lt;&gt;""),"LOGGED","INCOMPLETE")))</f>
        <v/>
      </c>
      <c r="K162" s="18" t="str">
        <f aca="false">IFERROR(INDEX('Player Board'!$AA$5:$AA$304,MATCH(B162,'Player Board'!$A$5:$A$304,0)),"")</f>
        <v/>
      </c>
    </row>
    <row r="163" customFormat="false" ht="18" hidden="false" customHeight="true" outlineLevel="0" collapsed="false">
      <c r="A163" s="18" t="str">
        <f aca="false">IF(B163="","",ROW()-4)</f>
        <v/>
      </c>
      <c r="B163" s="43"/>
      <c r="C163" s="18" t="str">
        <f aca="false">IFERROR(INDEX('Player Board'!$G$5:$G$304,MATCH(B163,'Player Board'!$A$5:$A$304,0)),"")</f>
        <v/>
      </c>
      <c r="D163" s="43"/>
      <c r="E163" s="44"/>
      <c r="F163" s="44"/>
      <c r="G163" s="19" t="str">
        <f aca="false">IFERROR(INDEX('Player Board'!$R$5:$R$304,MATCH(B163,'Player Board'!$A$5:$A$304,0)),"")</f>
        <v/>
      </c>
      <c r="H163" s="19" t="str">
        <f aca="false">IF(E163="","",G163-E163)</f>
        <v/>
      </c>
      <c r="I163" s="43"/>
      <c r="J163" s="18" t="str">
        <f aca="false">IF(B163="","",IF(A163=MAX($A$5:$A$304),"LAST — CLEAR INPUTS TO UNDO",IF(AND(D163&lt;&gt;"",E163&lt;&gt;""),"LOGGED","INCOMPLETE")))</f>
        <v/>
      </c>
      <c r="K163" s="18" t="str">
        <f aca="false">IFERROR(INDEX('Player Board'!$AA$5:$AA$304,MATCH(B163,'Player Board'!$A$5:$A$304,0)),"")</f>
        <v/>
      </c>
    </row>
    <row r="164" customFormat="false" ht="18" hidden="false" customHeight="true" outlineLevel="0" collapsed="false">
      <c r="A164" s="18" t="str">
        <f aca="false">IF(B164="","",ROW()-4)</f>
        <v/>
      </c>
      <c r="B164" s="43"/>
      <c r="C164" s="18" t="str">
        <f aca="false">IFERROR(INDEX('Player Board'!$G$5:$G$304,MATCH(B164,'Player Board'!$A$5:$A$304,0)),"")</f>
        <v/>
      </c>
      <c r="D164" s="43"/>
      <c r="E164" s="44"/>
      <c r="F164" s="44"/>
      <c r="G164" s="19" t="str">
        <f aca="false">IFERROR(INDEX('Player Board'!$R$5:$R$304,MATCH(B164,'Player Board'!$A$5:$A$304,0)),"")</f>
        <v/>
      </c>
      <c r="H164" s="19" t="str">
        <f aca="false">IF(E164="","",G164-E164)</f>
        <v/>
      </c>
      <c r="I164" s="43"/>
      <c r="J164" s="18" t="str">
        <f aca="false">IF(B164="","",IF(A164=MAX($A$5:$A$304),"LAST — CLEAR INPUTS TO UNDO",IF(AND(D164&lt;&gt;"",E164&lt;&gt;""),"LOGGED","INCOMPLETE")))</f>
        <v/>
      </c>
      <c r="K164" s="18" t="str">
        <f aca="false">IFERROR(INDEX('Player Board'!$AA$5:$AA$304,MATCH(B164,'Player Board'!$A$5:$A$304,0)),"")</f>
        <v/>
      </c>
    </row>
    <row r="165" customFormat="false" ht="18" hidden="false" customHeight="true" outlineLevel="0" collapsed="false">
      <c r="A165" s="18" t="str">
        <f aca="false">IF(B165="","",ROW()-4)</f>
        <v/>
      </c>
      <c r="B165" s="43"/>
      <c r="C165" s="18" t="str">
        <f aca="false">IFERROR(INDEX('Player Board'!$G$5:$G$304,MATCH(B165,'Player Board'!$A$5:$A$304,0)),"")</f>
        <v/>
      </c>
      <c r="D165" s="43"/>
      <c r="E165" s="44"/>
      <c r="F165" s="44"/>
      <c r="G165" s="19" t="str">
        <f aca="false">IFERROR(INDEX('Player Board'!$R$5:$R$304,MATCH(B165,'Player Board'!$A$5:$A$304,0)),"")</f>
        <v/>
      </c>
      <c r="H165" s="19" t="str">
        <f aca="false">IF(E165="","",G165-E165)</f>
        <v/>
      </c>
      <c r="I165" s="43"/>
      <c r="J165" s="18" t="str">
        <f aca="false">IF(B165="","",IF(A165=MAX($A$5:$A$304),"LAST — CLEAR INPUTS TO UNDO",IF(AND(D165&lt;&gt;"",E165&lt;&gt;""),"LOGGED","INCOMPLETE")))</f>
        <v/>
      </c>
      <c r="K165" s="18" t="str">
        <f aca="false">IFERROR(INDEX('Player Board'!$AA$5:$AA$304,MATCH(B165,'Player Board'!$A$5:$A$304,0)),"")</f>
        <v/>
      </c>
    </row>
    <row r="166" customFormat="false" ht="18" hidden="false" customHeight="true" outlineLevel="0" collapsed="false">
      <c r="A166" s="18" t="str">
        <f aca="false">IF(B166="","",ROW()-4)</f>
        <v/>
      </c>
      <c r="B166" s="43"/>
      <c r="C166" s="18" t="str">
        <f aca="false">IFERROR(INDEX('Player Board'!$G$5:$G$304,MATCH(B166,'Player Board'!$A$5:$A$304,0)),"")</f>
        <v/>
      </c>
      <c r="D166" s="43"/>
      <c r="E166" s="44"/>
      <c r="F166" s="44"/>
      <c r="G166" s="19" t="str">
        <f aca="false">IFERROR(INDEX('Player Board'!$R$5:$R$304,MATCH(B166,'Player Board'!$A$5:$A$304,0)),"")</f>
        <v/>
      </c>
      <c r="H166" s="19" t="str">
        <f aca="false">IF(E166="","",G166-E166)</f>
        <v/>
      </c>
      <c r="I166" s="43"/>
      <c r="J166" s="18" t="str">
        <f aca="false">IF(B166="","",IF(A166=MAX($A$5:$A$304),"LAST — CLEAR INPUTS TO UNDO",IF(AND(D166&lt;&gt;"",E166&lt;&gt;""),"LOGGED","INCOMPLETE")))</f>
        <v/>
      </c>
      <c r="K166" s="18" t="str">
        <f aca="false">IFERROR(INDEX('Player Board'!$AA$5:$AA$304,MATCH(B166,'Player Board'!$A$5:$A$304,0)),"")</f>
        <v/>
      </c>
    </row>
    <row r="167" customFormat="false" ht="18" hidden="false" customHeight="true" outlineLevel="0" collapsed="false">
      <c r="A167" s="18" t="str">
        <f aca="false">IF(B167="","",ROW()-4)</f>
        <v/>
      </c>
      <c r="B167" s="43"/>
      <c r="C167" s="18" t="str">
        <f aca="false">IFERROR(INDEX('Player Board'!$G$5:$G$304,MATCH(B167,'Player Board'!$A$5:$A$304,0)),"")</f>
        <v/>
      </c>
      <c r="D167" s="43"/>
      <c r="E167" s="44"/>
      <c r="F167" s="44"/>
      <c r="G167" s="19" t="str">
        <f aca="false">IFERROR(INDEX('Player Board'!$R$5:$R$304,MATCH(B167,'Player Board'!$A$5:$A$304,0)),"")</f>
        <v/>
      </c>
      <c r="H167" s="19" t="str">
        <f aca="false">IF(E167="","",G167-E167)</f>
        <v/>
      </c>
      <c r="I167" s="43"/>
      <c r="J167" s="18" t="str">
        <f aca="false">IF(B167="","",IF(A167=MAX($A$5:$A$304),"LAST — CLEAR INPUTS TO UNDO",IF(AND(D167&lt;&gt;"",E167&lt;&gt;""),"LOGGED","INCOMPLETE")))</f>
        <v/>
      </c>
      <c r="K167" s="18" t="str">
        <f aca="false">IFERROR(INDEX('Player Board'!$AA$5:$AA$304,MATCH(B167,'Player Board'!$A$5:$A$304,0)),"")</f>
        <v/>
      </c>
    </row>
    <row r="168" customFormat="false" ht="18" hidden="false" customHeight="true" outlineLevel="0" collapsed="false">
      <c r="A168" s="18" t="str">
        <f aca="false">IF(B168="","",ROW()-4)</f>
        <v/>
      </c>
      <c r="B168" s="43"/>
      <c r="C168" s="18" t="str">
        <f aca="false">IFERROR(INDEX('Player Board'!$G$5:$G$304,MATCH(B168,'Player Board'!$A$5:$A$304,0)),"")</f>
        <v/>
      </c>
      <c r="D168" s="43"/>
      <c r="E168" s="44"/>
      <c r="F168" s="44"/>
      <c r="G168" s="19" t="str">
        <f aca="false">IFERROR(INDEX('Player Board'!$R$5:$R$304,MATCH(B168,'Player Board'!$A$5:$A$304,0)),"")</f>
        <v/>
      </c>
      <c r="H168" s="19" t="str">
        <f aca="false">IF(E168="","",G168-E168)</f>
        <v/>
      </c>
      <c r="I168" s="43"/>
      <c r="J168" s="18" t="str">
        <f aca="false">IF(B168="","",IF(A168=MAX($A$5:$A$304),"LAST — CLEAR INPUTS TO UNDO",IF(AND(D168&lt;&gt;"",E168&lt;&gt;""),"LOGGED","INCOMPLETE")))</f>
        <v/>
      </c>
      <c r="K168" s="18" t="str">
        <f aca="false">IFERROR(INDEX('Player Board'!$AA$5:$AA$304,MATCH(B168,'Player Board'!$A$5:$A$304,0)),"")</f>
        <v/>
      </c>
    </row>
    <row r="169" customFormat="false" ht="18" hidden="false" customHeight="true" outlineLevel="0" collapsed="false">
      <c r="A169" s="18" t="str">
        <f aca="false">IF(B169="","",ROW()-4)</f>
        <v/>
      </c>
      <c r="B169" s="43"/>
      <c r="C169" s="18" t="str">
        <f aca="false">IFERROR(INDEX('Player Board'!$G$5:$G$304,MATCH(B169,'Player Board'!$A$5:$A$304,0)),"")</f>
        <v/>
      </c>
      <c r="D169" s="43"/>
      <c r="E169" s="44"/>
      <c r="F169" s="44"/>
      <c r="G169" s="19" t="str">
        <f aca="false">IFERROR(INDEX('Player Board'!$R$5:$R$304,MATCH(B169,'Player Board'!$A$5:$A$304,0)),"")</f>
        <v/>
      </c>
      <c r="H169" s="19" t="str">
        <f aca="false">IF(E169="","",G169-E169)</f>
        <v/>
      </c>
      <c r="I169" s="43"/>
      <c r="J169" s="18" t="str">
        <f aca="false">IF(B169="","",IF(A169=MAX($A$5:$A$304),"LAST — CLEAR INPUTS TO UNDO",IF(AND(D169&lt;&gt;"",E169&lt;&gt;""),"LOGGED","INCOMPLETE")))</f>
        <v/>
      </c>
      <c r="K169" s="18" t="str">
        <f aca="false">IFERROR(INDEX('Player Board'!$AA$5:$AA$304,MATCH(B169,'Player Board'!$A$5:$A$304,0)),"")</f>
        <v/>
      </c>
    </row>
    <row r="170" customFormat="false" ht="18" hidden="false" customHeight="true" outlineLevel="0" collapsed="false">
      <c r="A170" s="18" t="str">
        <f aca="false">IF(B170="","",ROW()-4)</f>
        <v/>
      </c>
      <c r="B170" s="43"/>
      <c r="C170" s="18" t="str">
        <f aca="false">IFERROR(INDEX('Player Board'!$G$5:$G$304,MATCH(B170,'Player Board'!$A$5:$A$304,0)),"")</f>
        <v/>
      </c>
      <c r="D170" s="43"/>
      <c r="E170" s="44"/>
      <c r="F170" s="44"/>
      <c r="G170" s="19" t="str">
        <f aca="false">IFERROR(INDEX('Player Board'!$R$5:$R$304,MATCH(B170,'Player Board'!$A$5:$A$304,0)),"")</f>
        <v/>
      </c>
      <c r="H170" s="19" t="str">
        <f aca="false">IF(E170="","",G170-E170)</f>
        <v/>
      </c>
      <c r="I170" s="43"/>
      <c r="J170" s="18" t="str">
        <f aca="false">IF(B170="","",IF(A170=MAX($A$5:$A$304),"LAST — CLEAR INPUTS TO UNDO",IF(AND(D170&lt;&gt;"",E170&lt;&gt;""),"LOGGED","INCOMPLETE")))</f>
        <v/>
      </c>
      <c r="K170" s="18" t="str">
        <f aca="false">IFERROR(INDEX('Player Board'!$AA$5:$AA$304,MATCH(B170,'Player Board'!$A$5:$A$304,0)),"")</f>
        <v/>
      </c>
    </row>
    <row r="171" customFormat="false" ht="18" hidden="false" customHeight="true" outlineLevel="0" collapsed="false">
      <c r="A171" s="18" t="str">
        <f aca="false">IF(B171="","",ROW()-4)</f>
        <v/>
      </c>
      <c r="B171" s="43"/>
      <c r="C171" s="18" t="str">
        <f aca="false">IFERROR(INDEX('Player Board'!$G$5:$G$304,MATCH(B171,'Player Board'!$A$5:$A$304,0)),"")</f>
        <v/>
      </c>
      <c r="D171" s="43"/>
      <c r="E171" s="44"/>
      <c r="F171" s="44"/>
      <c r="G171" s="19" t="str">
        <f aca="false">IFERROR(INDEX('Player Board'!$R$5:$R$304,MATCH(B171,'Player Board'!$A$5:$A$304,0)),"")</f>
        <v/>
      </c>
      <c r="H171" s="19" t="str">
        <f aca="false">IF(E171="","",G171-E171)</f>
        <v/>
      </c>
      <c r="I171" s="43"/>
      <c r="J171" s="18" t="str">
        <f aca="false">IF(B171="","",IF(A171=MAX($A$5:$A$304),"LAST — CLEAR INPUTS TO UNDO",IF(AND(D171&lt;&gt;"",E171&lt;&gt;""),"LOGGED","INCOMPLETE")))</f>
        <v/>
      </c>
      <c r="K171" s="18" t="str">
        <f aca="false">IFERROR(INDEX('Player Board'!$AA$5:$AA$304,MATCH(B171,'Player Board'!$A$5:$A$304,0)),"")</f>
        <v/>
      </c>
    </row>
    <row r="172" customFormat="false" ht="18" hidden="false" customHeight="true" outlineLevel="0" collapsed="false">
      <c r="A172" s="18" t="str">
        <f aca="false">IF(B172="","",ROW()-4)</f>
        <v/>
      </c>
      <c r="B172" s="43"/>
      <c r="C172" s="18" t="str">
        <f aca="false">IFERROR(INDEX('Player Board'!$G$5:$G$304,MATCH(B172,'Player Board'!$A$5:$A$304,0)),"")</f>
        <v/>
      </c>
      <c r="D172" s="43"/>
      <c r="E172" s="44"/>
      <c r="F172" s="44"/>
      <c r="G172" s="19" t="str">
        <f aca="false">IFERROR(INDEX('Player Board'!$R$5:$R$304,MATCH(B172,'Player Board'!$A$5:$A$304,0)),"")</f>
        <v/>
      </c>
      <c r="H172" s="19" t="str">
        <f aca="false">IF(E172="","",G172-E172)</f>
        <v/>
      </c>
      <c r="I172" s="43"/>
      <c r="J172" s="18" t="str">
        <f aca="false">IF(B172="","",IF(A172=MAX($A$5:$A$304),"LAST — CLEAR INPUTS TO UNDO",IF(AND(D172&lt;&gt;"",E172&lt;&gt;""),"LOGGED","INCOMPLETE")))</f>
        <v/>
      </c>
      <c r="K172" s="18" t="str">
        <f aca="false">IFERROR(INDEX('Player Board'!$AA$5:$AA$304,MATCH(B172,'Player Board'!$A$5:$A$304,0)),"")</f>
        <v/>
      </c>
    </row>
    <row r="173" customFormat="false" ht="18" hidden="false" customHeight="true" outlineLevel="0" collapsed="false">
      <c r="A173" s="18" t="str">
        <f aca="false">IF(B173="","",ROW()-4)</f>
        <v/>
      </c>
      <c r="B173" s="43"/>
      <c r="C173" s="18" t="str">
        <f aca="false">IFERROR(INDEX('Player Board'!$G$5:$G$304,MATCH(B173,'Player Board'!$A$5:$A$304,0)),"")</f>
        <v/>
      </c>
      <c r="D173" s="43"/>
      <c r="E173" s="44"/>
      <c r="F173" s="44"/>
      <c r="G173" s="19" t="str">
        <f aca="false">IFERROR(INDEX('Player Board'!$R$5:$R$304,MATCH(B173,'Player Board'!$A$5:$A$304,0)),"")</f>
        <v/>
      </c>
      <c r="H173" s="19" t="str">
        <f aca="false">IF(E173="","",G173-E173)</f>
        <v/>
      </c>
      <c r="I173" s="43"/>
      <c r="J173" s="18" t="str">
        <f aca="false">IF(B173="","",IF(A173=MAX($A$5:$A$304),"LAST — CLEAR INPUTS TO UNDO",IF(AND(D173&lt;&gt;"",E173&lt;&gt;""),"LOGGED","INCOMPLETE")))</f>
        <v/>
      </c>
      <c r="K173" s="18" t="str">
        <f aca="false">IFERROR(INDEX('Player Board'!$AA$5:$AA$304,MATCH(B173,'Player Board'!$A$5:$A$304,0)),"")</f>
        <v/>
      </c>
    </row>
    <row r="174" customFormat="false" ht="18" hidden="false" customHeight="true" outlineLevel="0" collapsed="false">
      <c r="A174" s="18" t="str">
        <f aca="false">IF(B174="","",ROW()-4)</f>
        <v/>
      </c>
      <c r="B174" s="43"/>
      <c r="C174" s="18" t="str">
        <f aca="false">IFERROR(INDEX('Player Board'!$G$5:$G$304,MATCH(B174,'Player Board'!$A$5:$A$304,0)),"")</f>
        <v/>
      </c>
      <c r="D174" s="43"/>
      <c r="E174" s="44"/>
      <c r="F174" s="44"/>
      <c r="G174" s="19" t="str">
        <f aca="false">IFERROR(INDEX('Player Board'!$R$5:$R$304,MATCH(B174,'Player Board'!$A$5:$A$304,0)),"")</f>
        <v/>
      </c>
      <c r="H174" s="19" t="str">
        <f aca="false">IF(E174="","",G174-E174)</f>
        <v/>
      </c>
      <c r="I174" s="43"/>
      <c r="J174" s="18" t="str">
        <f aca="false">IF(B174="","",IF(A174=MAX($A$5:$A$304),"LAST — CLEAR INPUTS TO UNDO",IF(AND(D174&lt;&gt;"",E174&lt;&gt;""),"LOGGED","INCOMPLETE")))</f>
        <v/>
      </c>
      <c r="K174" s="18" t="str">
        <f aca="false">IFERROR(INDEX('Player Board'!$AA$5:$AA$304,MATCH(B174,'Player Board'!$A$5:$A$304,0)),"")</f>
        <v/>
      </c>
    </row>
    <row r="175" customFormat="false" ht="18" hidden="false" customHeight="true" outlineLevel="0" collapsed="false">
      <c r="A175" s="18" t="str">
        <f aca="false">IF(B175="","",ROW()-4)</f>
        <v/>
      </c>
      <c r="B175" s="43"/>
      <c r="C175" s="18" t="str">
        <f aca="false">IFERROR(INDEX('Player Board'!$G$5:$G$304,MATCH(B175,'Player Board'!$A$5:$A$304,0)),"")</f>
        <v/>
      </c>
      <c r="D175" s="43"/>
      <c r="E175" s="44"/>
      <c r="F175" s="44"/>
      <c r="G175" s="19" t="str">
        <f aca="false">IFERROR(INDEX('Player Board'!$R$5:$R$304,MATCH(B175,'Player Board'!$A$5:$A$304,0)),"")</f>
        <v/>
      </c>
      <c r="H175" s="19" t="str">
        <f aca="false">IF(E175="","",G175-E175)</f>
        <v/>
      </c>
      <c r="I175" s="43"/>
      <c r="J175" s="18" t="str">
        <f aca="false">IF(B175="","",IF(A175=MAX($A$5:$A$304),"LAST — CLEAR INPUTS TO UNDO",IF(AND(D175&lt;&gt;"",E175&lt;&gt;""),"LOGGED","INCOMPLETE")))</f>
        <v/>
      </c>
      <c r="K175" s="18" t="str">
        <f aca="false">IFERROR(INDEX('Player Board'!$AA$5:$AA$304,MATCH(B175,'Player Board'!$A$5:$A$304,0)),"")</f>
        <v/>
      </c>
    </row>
    <row r="176" customFormat="false" ht="18" hidden="false" customHeight="true" outlineLevel="0" collapsed="false">
      <c r="A176" s="18" t="str">
        <f aca="false">IF(B176="","",ROW()-4)</f>
        <v/>
      </c>
      <c r="B176" s="43"/>
      <c r="C176" s="18" t="str">
        <f aca="false">IFERROR(INDEX('Player Board'!$G$5:$G$304,MATCH(B176,'Player Board'!$A$5:$A$304,0)),"")</f>
        <v/>
      </c>
      <c r="D176" s="43"/>
      <c r="E176" s="44"/>
      <c r="F176" s="44"/>
      <c r="G176" s="19" t="str">
        <f aca="false">IFERROR(INDEX('Player Board'!$R$5:$R$304,MATCH(B176,'Player Board'!$A$5:$A$304,0)),"")</f>
        <v/>
      </c>
      <c r="H176" s="19" t="str">
        <f aca="false">IF(E176="","",G176-E176)</f>
        <v/>
      </c>
      <c r="I176" s="43"/>
      <c r="J176" s="18" t="str">
        <f aca="false">IF(B176="","",IF(A176=MAX($A$5:$A$304),"LAST — CLEAR INPUTS TO UNDO",IF(AND(D176&lt;&gt;"",E176&lt;&gt;""),"LOGGED","INCOMPLETE")))</f>
        <v/>
      </c>
      <c r="K176" s="18" t="str">
        <f aca="false">IFERROR(INDEX('Player Board'!$AA$5:$AA$304,MATCH(B176,'Player Board'!$A$5:$A$304,0)),"")</f>
        <v/>
      </c>
    </row>
    <row r="177" customFormat="false" ht="18" hidden="false" customHeight="true" outlineLevel="0" collapsed="false">
      <c r="A177" s="18" t="str">
        <f aca="false">IF(B177="","",ROW()-4)</f>
        <v/>
      </c>
      <c r="B177" s="43"/>
      <c r="C177" s="18" t="str">
        <f aca="false">IFERROR(INDEX('Player Board'!$G$5:$G$304,MATCH(B177,'Player Board'!$A$5:$A$304,0)),"")</f>
        <v/>
      </c>
      <c r="D177" s="43"/>
      <c r="E177" s="44"/>
      <c r="F177" s="44"/>
      <c r="G177" s="19" t="str">
        <f aca="false">IFERROR(INDEX('Player Board'!$R$5:$R$304,MATCH(B177,'Player Board'!$A$5:$A$304,0)),"")</f>
        <v/>
      </c>
      <c r="H177" s="19" t="str">
        <f aca="false">IF(E177="","",G177-E177)</f>
        <v/>
      </c>
      <c r="I177" s="43"/>
      <c r="J177" s="18" t="str">
        <f aca="false">IF(B177="","",IF(A177=MAX($A$5:$A$304),"LAST — CLEAR INPUTS TO UNDO",IF(AND(D177&lt;&gt;"",E177&lt;&gt;""),"LOGGED","INCOMPLETE")))</f>
        <v/>
      </c>
      <c r="K177" s="18" t="str">
        <f aca="false">IFERROR(INDEX('Player Board'!$AA$5:$AA$304,MATCH(B177,'Player Board'!$A$5:$A$304,0)),"")</f>
        <v/>
      </c>
    </row>
    <row r="178" customFormat="false" ht="18" hidden="false" customHeight="true" outlineLevel="0" collapsed="false">
      <c r="A178" s="18" t="str">
        <f aca="false">IF(B178="","",ROW()-4)</f>
        <v/>
      </c>
      <c r="B178" s="43"/>
      <c r="C178" s="18" t="str">
        <f aca="false">IFERROR(INDEX('Player Board'!$G$5:$G$304,MATCH(B178,'Player Board'!$A$5:$A$304,0)),"")</f>
        <v/>
      </c>
      <c r="D178" s="43"/>
      <c r="E178" s="44"/>
      <c r="F178" s="44"/>
      <c r="G178" s="19" t="str">
        <f aca="false">IFERROR(INDEX('Player Board'!$R$5:$R$304,MATCH(B178,'Player Board'!$A$5:$A$304,0)),"")</f>
        <v/>
      </c>
      <c r="H178" s="19" t="str">
        <f aca="false">IF(E178="","",G178-E178)</f>
        <v/>
      </c>
      <c r="I178" s="43"/>
      <c r="J178" s="18" t="str">
        <f aca="false">IF(B178="","",IF(A178=MAX($A$5:$A$304),"LAST — CLEAR INPUTS TO UNDO",IF(AND(D178&lt;&gt;"",E178&lt;&gt;""),"LOGGED","INCOMPLETE")))</f>
        <v/>
      </c>
      <c r="K178" s="18" t="str">
        <f aca="false">IFERROR(INDEX('Player Board'!$AA$5:$AA$304,MATCH(B178,'Player Board'!$A$5:$A$304,0)),"")</f>
        <v/>
      </c>
    </row>
    <row r="179" customFormat="false" ht="18" hidden="false" customHeight="true" outlineLevel="0" collapsed="false">
      <c r="A179" s="18" t="str">
        <f aca="false">IF(B179="","",ROW()-4)</f>
        <v/>
      </c>
      <c r="B179" s="43"/>
      <c r="C179" s="18" t="str">
        <f aca="false">IFERROR(INDEX('Player Board'!$G$5:$G$304,MATCH(B179,'Player Board'!$A$5:$A$304,0)),"")</f>
        <v/>
      </c>
      <c r="D179" s="43"/>
      <c r="E179" s="44"/>
      <c r="F179" s="44"/>
      <c r="G179" s="19" t="str">
        <f aca="false">IFERROR(INDEX('Player Board'!$R$5:$R$304,MATCH(B179,'Player Board'!$A$5:$A$304,0)),"")</f>
        <v/>
      </c>
      <c r="H179" s="19" t="str">
        <f aca="false">IF(E179="","",G179-E179)</f>
        <v/>
      </c>
      <c r="I179" s="43"/>
      <c r="J179" s="18" t="str">
        <f aca="false">IF(B179="","",IF(A179=MAX($A$5:$A$304),"LAST — CLEAR INPUTS TO UNDO",IF(AND(D179&lt;&gt;"",E179&lt;&gt;""),"LOGGED","INCOMPLETE")))</f>
        <v/>
      </c>
      <c r="K179" s="18" t="str">
        <f aca="false">IFERROR(INDEX('Player Board'!$AA$5:$AA$304,MATCH(B179,'Player Board'!$A$5:$A$304,0)),"")</f>
        <v/>
      </c>
    </row>
    <row r="180" customFormat="false" ht="18" hidden="false" customHeight="true" outlineLevel="0" collapsed="false">
      <c r="A180" s="18" t="str">
        <f aca="false">IF(B180="","",ROW()-4)</f>
        <v/>
      </c>
      <c r="B180" s="43"/>
      <c r="C180" s="18" t="str">
        <f aca="false">IFERROR(INDEX('Player Board'!$G$5:$G$304,MATCH(B180,'Player Board'!$A$5:$A$304,0)),"")</f>
        <v/>
      </c>
      <c r="D180" s="43"/>
      <c r="E180" s="44"/>
      <c r="F180" s="44"/>
      <c r="G180" s="19" t="str">
        <f aca="false">IFERROR(INDEX('Player Board'!$R$5:$R$304,MATCH(B180,'Player Board'!$A$5:$A$304,0)),"")</f>
        <v/>
      </c>
      <c r="H180" s="19" t="str">
        <f aca="false">IF(E180="","",G180-E180)</f>
        <v/>
      </c>
      <c r="I180" s="43"/>
      <c r="J180" s="18" t="str">
        <f aca="false">IF(B180="","",IF(A180=MAX($A$5:$A$304),"LAST — CLEAR INPUTS TO UNDO",IF(AND(D180&lt;&gt;"",E180&lt;&gt;""),"LOGGED","INCOMPLETE")))</f>
        <v/>
      </c>
      <c r="K180" s="18" t="str">
        <f aca="false">IFERROR(INDEX('Player Board'!$AA$5:$AA$304,MATCH(B180,'Player Board'!$A$5:$A$304,0)),"")</f>
        <v/>
      </c>
    </row>
    <row r="181" customFormat="false" ht="18" hidden="false" customHeight="true" outlineLevel="0" collapsed="false">
      <c r="A181" s="18" t="str">
        <f aca="false">IF(B181="","",ROW()-4)</f>
        <v/>
      </c>
      <c r="B181" s="43"/>
      <c r="C181" s="18" t="str">
        <f aca="false">IFERROR(INDEX('Player Board'!$G$5:$G$304,MATCH(B181,'Player Board'!$A$5:$A$304,0)),"")</f>
        <v/>
      </c>
      <c r="D181" s="43"/>
      <c r="E181" s="44"/>
      <c r="F181" s="44"/>
      <c r="G181" s="19" t="str">
        <f aca="false">IFERROR(INDEX('Player Board'!$R$5:$R$304,MATCH(B181,'Player Board'!$A$5:$A$304,0)),"")</f>
        <v/>
      </c>
      <c r="H181" s="19" t="str">
        <f aca="false">IF(E181="","",G181-E181)</f>
        <v/>
      </c>
      <c r="I181" s="43"/>
      <c r="J181" s="18" t="str">
        <f aca="false">IF(B181="","",IF(A181=MAX($A$5:$A$304),"LAST — CLEAR INPUTS TO UNDO",IF(AND(D181&lt;&gt;"",E181&lt;&gt;""),"LOGGED","INCOMPLETE")))</f>
        <v/>
      </c>
      <c r="K181" s="18" t="str">
        <f aca="false">IFERROR(INDEX('Player Board'!$AA$5:$AA$304,MATCH(B181,'Player Board'!$A$5:$A$304,0)),"")</f>
        <v/>
      </c>
    </row>
    <row r="182" customFormat="false" ht="18" hidden="false" customHeight="true" outlineLevel="0" collapsed="false">
      <c r="A182" s="18" t="str">
        <f aca="false">IF(B182="","",ROW()-4)</f>
        <v/>
      </c>
      <c r="B182" s="43"/>
      <c r="C182" s="18" t="str">
        <f aca="false">IFERROR(INDEX('Player Board'!$G$5:$G$304,MATCH(B182,'Player Board'!$A$5:$A$304,0)),"")</f>
        <v/>
      </c>
      <c r="D182" s="43"/>
      <c r="E182" s="44"/>
      <c r="F182" s="44"/>
      <c r="G182" s="19" t="str">
        <f aca="false">IFERROR(INDEX('Player Board'!$R$5:$R$304,MATCH(B182,'Player Board'!$A$5:$A$304,0)),"")</f>
        <v/>
      </c>
      <c r="H182" s="19" t="str">
        <f aca="false">IF(E182="","",G182-E182)</f>
        <v/>
      </c>
      <c r="I182" s="43"/>
      <c r="J182" s="18" t="str">
        <f aca="false">IF(B182="","",IF(A182=MAX($A$5:$A$304),"LAST — CLEAR INPUTS TO UNDO",IF(AND(D182&lt;&gt;"",E182&lt;&gt;""),"LOGGED","INCOMPLETE")))</f>
        <v/>
      </c>
      <c r="K182" s="18" t="str">
        <f aca="false">IFERROR(INDEX('Player Board'!$AA$5:$AA$304,MATCH(B182,'Player Board'!$A$5:$A$304,0)),"")</f>
        <v/>
      </c>
    </row>
    <row r="183" customFormat="false" ht="18" hidden="false" customHeight="true" outlineLevel="0" collapsed="false">
      <c r="A183" s="18" t="str">
        <f aca="false">IF(B183="","",ROW()-4)</f>
        <v/>
      </c>
      <c r="B183" s="43"/>
      <c r="C183" s="18" t="str">
        <f aca="false">IFERROR(INDEX('Player Board'!$G$5:$G$304,MATCH(B183,'Player Board'!$A$5:$A$304,0)),"")</f>
        <v/>
      </c>
      <c r="D183" s="43"/>
      <c r="E183" s="44"/>
      <c r="F183" s="44"/>
      <c r="G183" s="19" t="str">
        <f aca="false">IFERROR(INDEX('Player Board'!$R$5:$R$304,MATCH(B183,'Player Board'!$A$5:$A$304,0)),"")</f>
        <v/>
      </c>
      <c r="H183" s="19" t="str">
        <f aca="false">IF(E183="","",G183-E183)</f>
        <v/>
      </c>
      <c r="I183" s="43"/>
      <c r="J183" s="18" t="str">
        <f aca="false">IF(B183="","",IF(A183=MAX($A$5:$A$304),"LAST — CLEAR INPUTS TO UNDO",IF(AND(D183&lt;&gt;"",E183&lt;&gt;""),"LOGGED","INCOMPLETE")))</f>
        <v/>
      </c>
      <c r="K183" s="18" t="str">
        <f aca="false">IFERROR(INDEX('Player Board'!$AA$5:$AA$304,MATCH(B183,'Player Board'!$A$5:$A$304,0)),"")</f>
        <v/>
      </c>
    </row>
    <row r="184" customFormat="false" ht="18" hidden="false" customHeight="true" outlineLevel="0" collapsed="false">
      <c r="A184" s="18" t="str">
        <f aca="false">IF(B184="","",ROW()-4)</f>
        <v/>
      </c>
      <c r="B184" s="43"/>
      <c r="C184" s="18" t="str">
        <f aca="false">IFERROR(INDEX('Player Board'!$G$5:$G$304,MATCH(B184,'Player Board'!$A$5:$A$304,0)),"")</f>
        <v/>
      </c>
      <c r="D184" s="43"/>
      <c r="E184" s="44"/>
      <c r="F184" s="44"/>
      <c r="G184" s="19" t="str">
        <f aca="false">IFERROR(INDEX('Player Board'!$R$5:$R$304,MATCH(B184,'Player Board'!$A$5:$A$304,0)),"")</f>
        <v/>
      </c>
      <c r="H184" s="19" t="str">
        <f aca="false">IF(E184="","",G184-E184)</f>
        <v/>
      </c>
      <c r="I184" s="43"/>
      <c r="J184" s="18" t="str">
        <f aca="false">IF(B184="","",IF(A184=MAX($A$5:$A$304),"LAST — CLEAR INPUTS TO UNDO",IF(AND(D184&lt;&gt;"",E184&lt;&gt;""),"LOGGED","INCOMPLETE")))</f>
        <v/>
      </c>
      <c r="K184" s="18" t="str">
        <f aca="false">IFERROR(INDEX('Player Board'!$AA$5:$AA$304,MATCH(B184,'Player Board'!$A$5:$A$304,0)),"")</f>
        <v/>
      </c>
    </row>
    <row r="185" customFormat="false" ht="18" hidden="false" customHeight="true" outlineLevel="0" collapsed="false">
      <c r="A185" s="18" t="str">
        <f aca="false">IF(B185="","",ROW()-4)</f>
        <v/>
      </c>
      <c r="B185" s="43"/>
      <c r="C185" s="18" t="str">
        <f aca="false">IFERROR(INDEX('Player Board'!$G$5:$G$304,MATCH(B185,'Player Board'!$A$5:$A$304,0)),"")</f>
        <v/>
      </c>
      <c r="D185" s="43"/>
      <c r="E185" s="44"/>
      <c r="F185" s="44"/>
      <c r="G185" s="19" t="str">
        <f aca="false">IFERROR(INDEX('Player Board'!$R$5:$R$304,MATCH(B185,'Player Board'!$A$5:$A$304,0)),"")</f>
        <v/>
      </c>
      <c r="H185" s="19" t="str">
        <f aca="false">IF(E185="","",G185-E185)</f>
        <v/>
      </c>
      <c r="I185" s="43"/>
      <c r="J185" s="18" t="str">
        <f aca="false">IF(B185="","",IF(A185=MAX($A$5:$A$304),"LAST — CLEAR INPUTS TO UNDO",IF(AND(D185&lt;&gt;"",E185&lt;&gt;""),"LOGGED","INCOMPLETE")))</f>
        <v/>
      </c>
      <c r="K185" s="18" t="str">
        <f aca="false">IFERROR(INDEX('Player Board'!$AA$5:$AA$304,MATCH(B185,'Player Board'!$A$5:$A$304,0)),"")</f>
        <v/>
      </c>
    </row>
    <row r="186" customFormat="false" ht="18" hidden="false" customHeight="true" outlineLevel="0" collapsed="false">
      <c r="A186" s="18" t="str">
        <f aca="false">IF(B186="","",ROW()-4)</f>
        <v/>
      </c>
      <c r="B186" s="43"/>
      <c r="C186" s="18" t="str">
        <f aca="false">IFERROR(INDEX('Player Board'!$G$5:$G$304,MATCH(B186,'Player Board'!$A$5:$A$304,0)),"")</f>
        <v/>
      </c>
      <c r="D186" s="43"/>
      <c r="E186" s="44"/>
      <c r="F186" s="44"/>
      <c r="G186" s="19" t="str">
        <f aca="false">IFERROR(INDEX('Player Board'!$R$5:$R$304,MATCH(B186,'Player Board'!$A$5:$A$304,0)),"")</f>
        <v/>
      </c>
      <c r="H186" s="19" t="str">
        <f aca="false">IF(E186="","",G186-E186)</f>
        <v/>
      </c>
      <c r="I186" s="43"/>
      <c r="J186" s="18" t="str">
        <f aca="false">IF(B186="","",IF(A186=MAX($A$5:$A$304),"LAST — CLEAR INPUTS TO UNDO",IF(AND(D186&lt;&gt;"",E186&lt;&gt;""),"LOGGED","INCOMPLETE")))</f>
        <v/>
      </c>
      <c r="K186" s="18" t="str">
        <f aca="false">IFERROR(INDEX('Player Board'!$AA$5:$AA$304,MATCH(B186,'Player Board'!$A$5:$A$304,0)),"")</f>
        <v/>
      </c>
    </row>
    <row r="187" customFormat="false" ht="18" hidden="false" customHeight="true" outlineLevel="0" collapsed="false">
      <c r="A187" s="18" t="str">
        <f aca="false">IF(B187="","",ROW()-4)</f>
        <v/>
      </c>
      <c r="B187" s="43"/>
      <c r="C187" s="18" t="str">
        <f aca="false">IFERROR(INDEX('Player Board'!$G$5:$G$304,MATCH(B187,'Player Board'!$A$5:$A$304,0)),"")</f>
        <v/>
      </c>
      <c r="D187" s="43"/>
      <c r="E187" s="44"/>
      <c r="F187" s="44"/>
      <c r="G187" s="19" t="str">
        <f aca="false">IFERROR(INDEX('Player Board'!$R$5:$R$304,MATCH(B187,'Player Board'!$A$5:$A$304,0)),"")</f>
        <v/>
      </c>
      <c r="H187" s="19" t="str">
        <f aca="false">IF(E187="","",G187-E187)</f>
        <v/>
      </c>
      <c r="I187" s="43"/>
      <c r="J187" s="18" t="str">
        <f aca="false">IF(B187="","",IF(A187=MAX($A$5:$A$304),"LAST — CLEAR INPUTS TO UNDO",IF(AND(D187&lt;&gt;"",E187&lt;&gt;""),"LOGGED","INCOMPLETE")))</f>
        <v/>
      </c>
      <c r="K187" s="18" t="str">
        <f aca="false">IFERROR(INDEX('Player Board'!$AA$5:$AA$304,MATCH(B187,'Player Board'!$A$5:$A$304,0)),"")</f>
        <v/>
      </c>
    </row>
    <row r="188" customFormat="false" ht="18" hidden="false" customHeight="true" outlineLevel="0" collapsed="false">
      <c r="A188" s="18" t="str">
        <f aca="false">IF(B188="","",ROW()-4)</f>
        <v/>
      </c>
      <c r="B188" s="43"/>
      <c r="C188" s="18" t="str">
        <f aca="false">IFERROR(INDEX('Player Board'!$G$5:$G$304,MATCH(B188,'Player Board'!$A$5:$A$304,0)),"")</f>
        <v/>
      </c>
      <c r="D188" s="43"/>
      <c r="E188" s="44"/>
      <c r="F188" s="44"/>
      <c r="G188" s="19" t="str">
        <f aca="false">IFERROR(INDEX('Player Board'!$R$5:$R$304,MATCH(B188,'Player Board'!$A$5:$A$304,0)),"")</f>
        <v/>
      </c>
      <c r="H188" s="19" t="str">
        <f aca="false">IF(E188="","",G188-E188)</f>
        <v/>
      </c>
      <c r="I188" s="43"/>
      <c r="J188" s="18" t="str">
        <f aca="false">IF(B188="","",IF(A188=MAX($A$5:$A$304),"LAST — CLEAR INPUTS TO UNDO",IF(AND(D188&lt;&gt;"",E188&lt;&gt;""),"LOGGED","INCOMPLETE")))</f>
        <v/>
      </c>
      <c r="K188" s="18" t="str">
        <f aca="false">IFERROR(INDEX('Player Board'!$AA$5:$AA$304,MATCH(B188,'Player Board'!$A$5:$A$304,0)),"")</f>
        <v/>
      </c>
    </row>
    <row r="189" customFormat="false" ht="18" hidden="false" customHeight="true" outlineLevel="0" collapsed="false">
      <c r="A189" s="18" t="str">
        <f aca="false">IF(B189="","",ROW()-4)</f>
        <v/>
      </c>
      <c r="B189" s="43"/>
      <c r="C189" s="18" t="str">
        <f aca="false">IFERROR(INDEX('Player Board'!$G$5:$G$304,MATCH(B189,'Player Board'!$A$5:$A$304,0)),"")</f>
        <v/>
      </c>
      <c r="D189" s="43"/>
      <c r="E189" s="44"/>
      <c r="F189" s="44"/>
      <c r="G189" s="19" t="str">
        <f aca="false">IFERROR(INDEX('Player Board'!$R$5:$R$304,MATCH(B189,'Player Board'!$A$5:$A$304,0)),"")</f>
        <v/>
      </c>
      <c r="H189" s="19" t="str">
        <f aca="false">IF(E189="","",G189-E189)</f>
        <v/>
      </c>
      <c r="I189" s="43"/>
      <c r="J189" s="18" t="str">
        <f aca="false">IF(B189="","",IF(A189=MAX($A$5:$A$304),"LAST — CLEAR INPUTS TO UNDO",IF(AND(D189&lt;&gt;"",E189&lt;&gt;""),"LOGGED","INCOMPLETE")))</f>
        <v/>
      </c>
      <c r="K189" s="18" t="str">
        <f aca="false">IFERROR(INDEX('Player Board'!$AA$5:$AA$304,MATCH(B189,'Player Board'!$A$5:$A$304,0)),"")</f>
        <v/>
      </c>
    </row>
    <row r="190" customFormat="false" ht="18" hidden="false" customHeight="true" outlineLevel="0" collapsed="false">
      <c r="A190" s="18" t="str">
        <f aca="false">IF(B190="","",ROW()-4)</f>
        <v/>
      </c>
      <c r="B190" s="43"/>
      <c r="C190" s="18" t="str">
        <f aca="false">IFERROR(INDEX('Player Board'!$G$5:$G$304,MATCH(B190,'Player Board'!$A$5:$A$304,0)),"")</f>
        <v/>
      </c>
      <c r="D190" s="43"/>
      <c r="E190" s="44"/>
      <c r="F190" s="44"/>
      <c r="G190" s="19" t="str">
        <f aca="false">IFERROR(INDEX('Player Board'!$R$5:$R$304,MATCH(B190,'Player Board'!$A$5:$A$304,0)),"")</f>
        <v/>
      </c>
      <c r="H190" s="19" t="str">
        <f aca="false">IF(E190="","",G190-E190)</f>
        <v/>
      </c>
      <c r="I190" s="43"/>
      <c r="J190" s="18" t="str">
        <f aca="false">IF(B190="","",IF(A190=MAX($A$5:$A$304),"LAST — CLEAR INPUTS TO UNDO",IF(AND(D190&lt;&gt;"",E190&lt;&gt;""),"LOGGED","INCOMPLETE")))</f>
        <v/>
      </c>
      <c r="K190" s="18" t="str">
        <f aca="false">IFERROR(INDEX('Player Board'!$AA$5:$AA$304,MATCH(B190,'Player Board'!$A$5:$A$304,0)),"")</f>
        <v/>
      </c>
    </row>
    <row r="191" customFormat="false" ht="18" hidden="false" customHeight="true" outlineLevel="0" collapsed="false">
      <c r="A191" s="18" t="str">
        <f aca="false">IF(B191="","",ROW()-4)</f>
        <v/>
      </c>
      <c r="B191" s="43"/>
      <c r="C191" s="18" t="str">
        <f aca="false">IFERROR(INDEX('Player Board'!$G$5:$G$304,MATCH(B191,'Player Board'!$A$5:$A$304,0)),"")</f>
        <v/>
      </c>
      <c r="D191" s="43"/>
      <c r="E191" s="44"/>
      <c r="F191" s="44"/>
      <c r="G191" s="19" t="str">
        <f aca="false">IFERROR(INDEX('Player Board'!$R$5:$R$304,MATCH(B191,'Player Board'!$A$5:$A$304,0)),"")</f>
        <v/>
      </c>
      <c r="H191" s="19" t="str">
        <f aca="false">IF(E191="","",G191-E191)</f>
        <v/>
      </c>
      <c r="I191" s="43"/>
      <c r="J191" s="18" t="str">
        <f aca="false">IF(B191="","",IF(A191=MAX($A$5:$A$304),"LAST — CLEAR INPUTS TO UNDO",IF(AND(D191&lt;&gt;"",E191&lt;&gt;""),"LOGGED","INCOMPLETE")))</f>
        <v/>
      </c>
      <c r="K191" s="18" t="str">
        <f aca="false">IFERROR(INDEX('Player Board'!$AA$5:$AA$304,MATCH(B191,'Player Board'!$A$5:$A$304,0)),"")</f>
        <v/>
      </c>
    </row>
    <row r="192" customFormat="false" ht="18" hidden="false" customHeight="true" outlineLevel="0" collapsed="false">
      <c r="A192" s="18" t="str">
        <f aca="false">IF(B192="","",ROW()-4)</f>
        <v/>
      </c>
      <c r="B192" s="43"/>
      <c r="C192" s="18" t="str">
        <f aca="false">IFERROR(INDEX('Player Board'!$G$5:$G$304,MATCH(B192,'Player Board'!$A$5:$A$304,0)),"")</f>
        <v/>
      </c>
      <c r="D192" s="43"/>
      <c r="E192" s="44"/>
      <c r="F192" s="44"/>
      <c r="G192" s="19" t="str">
        <f aca="false">IFERROR(INDEX('Player Board'!$R$5:$R$304,MATCH(B192,'Player Board'!$A$5:$A$304,0)),"")</f>
        <v/>
      </c>
      <c r="H192" s="19" t="str">
        <f aca="false">IF(E192="","",G192-E192)</f>
        <v/>
      </c>
      <c r="I192" s="43"/>
      <c r="J192" s="18" t="str">
        <f aca="false">IF(B192="","",IF(A192=MAX($A$5:$A$304),"LAST — CLEAR INPUTS TO UNDO",IF(AND(D192&lt;&gt;"",E192&lt;&gt;""),"LOGGED","INCOMPLETE")))</f>
        <v/>
      </c>
      <c r="K192" s="18" t="str">
        <f aca="false">IFERROR(INDEX('Player Board'!$AA$5:$AA$304,MATCH(B192,'Player Board'!$A$5:$A$304,0)),"")</f>
        <v/>
      </c>
    </row>
    <row r="193" customFormat="false" ht="18" hidden="false" customHeight="true" outlineLevel="0" collapsed="false">
      <c r="A193" s="18" t="str">
        <f aca="false">IF(B193="","",ROW()-4)</f>
        <v/>
      </c>
      <c r="B193" s="43"/>
      <c r="C193" s="18" t="str">
        <f aca="false">IFERROR(INDEX('Player Board'!$G$5:$G$304,MATCH(B193,'Player Board'!$A$5:$A$304,0)),"")</f>
        <v/>
      </c>
      <c r="D193" s="43"/>
      <c r="E193" s="44"/>
      <c r="F193" s="44"/>
      <c r="G193" s="19" t="str">
        <f aca="false">IFERROR(INDEX('Player Board'!$R$5:$R$304,MATCH(B193,'Player Board'!$A$5:$A$304,0)),"")</f>
        <v/>
      </c>
      <c r="H193" s="19" t="str">
        <f aca="false">IF(E193="","",G193-E193)</f>
        <v/>
      </c>
      <c r="I193" s="43"/>
      <c r="J193" s="18" t="str">
        <f aca="false">IF(B193="","",IF(A193=MAX($A$5:$A$304),"LAST — CLEAR INPUTS TO UNDO",IF(AND(D193&lt;&gt;"",E193&lt;&gt;""),"LOGGED","INCOMPLETE")))</f>
        <v/>
      </c>
      <c r="K193" s="18" t="str">
        <f aca="false">IFERROR(INDEX('Player Board'!$AA$5:$AA$304,MATCH(B193,'Player Board'!$A$5:$A$304,0)),"")</f>
        <v/>
      </c>
    </row>
    <row r="194" customFormat="false" ht="18" hidden="false" customHeight="true" outlineLevel="0" collapsed="false">
      <c r="A194" s="18" t="str">
        <f aca="false">IF(B194="","",ROW()-4)</f>
        <v/>
      </c>
      <c r="B194" s="43"/>
      <c r="C194" s="18" t="str">
        <f aca="false">IFERROR(INDEX('Player Board'!$G$5:$G$304,MATCH(B194,'Player Board'!$A$5:$A$304,0)),"")</f>
        <v/>
      </c>
      <c r="D194" s="43"/>
      <c r="E194" s="44"/>
      <c r="F194" s="44"/>
      <c r="G194" s="19" t="str">
        <f aca="false">IFERROR(INDEX('Player Board'!$R$5:$R$304,MATCH(B194,'Player Board'!$A$5:$A$304,0)),"")</f>
        <v/>
      </c>
      <c r="H194" s="19" t="str">
        <f aca="false">IF(E194="","",G194-E194)</f>
        <v/>
      </c>
      <c r="I194" s="43"/>
      <c r="J194" s="18" t="str">
        <f aca="false">IF(B194="","",IF(A194=MAX($A$5:$A$304),"LAST — CLEAR INPUTS TO UNDO",IF(AND(D194&lt;&gt;"",E194&lt;&gt;""),"LOGGED","INCOMPLETE")))</f>
        <v/>
      </c>
      <c r="K194" s="18" t="str">
        <f aca="false">IFERROR(INDEX('Player Board'!$AA$5:$AA$304,MATCH(B194,'Player Board'!$A$5:$A$304,0)),"")</f>
        <v/>
      </c>
    </row>
    <row r="195" customFormat="false" ht="18" hidden="false" customHeight="true" outlineLevel="0" collapsed="false">
      <c r="A195" s="18" t="str">
        <f aca="false">IF(B195="","",ROW()-4)</f>
        <v/>
      </c>
      <c r="B195" s="43"/>
      <c r="C195" s="18" t="str">
        <f aca="false">IFERROR(INDEX('Player Board'!$G$5:$G$304,MATCH(B195,'Player Board'!$A$5:$A$304,0)),"")</f>
        <v/>
      </c>
      <c r="D195" s="43"/>
      <c r="E195" s="44"/>
      <c r="F195" s="44"/>
      <c r="G195" s="19" t="str">
        <f aca="false">IFERROR(INDEX('Player Board'!$R$5:$R$304,MATCH(B195,'Player Board'!$A$5:$A$304,0)),"")</f>
        <v/>
      </c>
      <c r="H195" s="19" t="str">
        <f aca="false">IF(E195="","",G195-E195)</f>
        <v/>
      </c>
      <c r="I195" s="43"/>
      <c r="J195" s="18" t="str">
        <f aca="false">IF(B195="","",IF(A195=MAX($A$5:$A$304),"LAST — CLEAR INPUTS TO UNDO",IF(AND(D195&lt;&gt;"",E195&lt;&gt;""),"LOGGED","INCOMPLETE")))</f>
        <v/>
      </c>
      <c r="K195" s="18" t="str">
        <f aca="false">IFERROR(INDEX('Player Board'!$AA$5:$AA$304,MATCH(B195,'Player Board'!$A$5:$A$304,0)),"")</f>
        <v/>
      </c>
    </row>
    <row r="196" customFormat="false" ht="18" hidden="false" customHeight="true" outlineLevel="0" collapsed="false">
      <c r="A196" s="18" t="str">
        <f aca="false">IF(B196="","",ROW()-4)</f>
        <v/>
      </c>
      <c r="B196" s="43"/>
      <c r="C196" s="18" t="str">
        <f aca="false">IFERROR(INDEX('Player Board'!$G$5:$G$304,MATCH(B196,'Player Board'!$A$5:$A$304,0)),"")</f>
        <v/>
      </c>
      <c r="D196" s="43"/>
      <c r="E196" s="44"/>
      <c r="F196" s="44"/>
      <c r="G196" s="19" t="str">
        <f aca="false">IFERROR(INDEX('Player Board'!$R$5:$R$304,MATCH(B196,'Player Board'!$A$5:$A$304,0)),"")</f>
        <v/>
      </c>
      <c r="H196" s="19" t="str">
        <f aca="false">IF(E196="","",G196-E196)</f>
        <v/>
      </c>
      <c r="I196" s="43"/>
      <c r="J196" s="18" t="str">
        <f aca="false">IF(B196="","",IF(A196=MAX($A$5:$A$304),"LAST — CLEAR INPUTS TO UNDO",IF(AND(D196&lt;&gt;"",E196&lt;&gt;""),"LOGGED","INCOMPLETE")))</f>
        <v/>
      </c>
      <c r="K196" s="18" t="str">
        <f aca="false">IFERROR(INDEX('Player Board'!$AA$5:$AA$304,MATCH(B196,'Player Board'!$A$5:$A$304,0)),"")</f>
        <v/>
      </c>
    </row>
    <row r="197" customFormat="false" ht="18" hidden="false" customHeight="true" outlineLevel="0" collapsed="false">
      <c r="A197" s="18" t="str">
        <f aca="false">IF(B197="","",ROW()-4)</f>
        <v/>
      </c>
      <c r="B197" s="43"/>
      <c r="C197" s="18" t="str">
        <f aca="false">IFERROR(INDEX('Player Board'!$G$5:$G$304,MATCH(B197,'Player Board'!$A$5:$A$304,0)),"")</f>
        <v/>
      </c>
      <c r="D197" s="43"/>
      <c r="E197" s="44"/>
      <c r="F197" s="44"/>
      <c r="G197" s="19" t="str">
        <f aca="false">IFERROR(INDEX('Player Board'!$R$5:$R$304,MATCH(B197,'Player Board'!$A$5:$A$304,0)),"")</f>
        <v/>
      </c>
      <c r="H197" s="19" t="str">
        <f aca="false">IF(E197="","",G197-E197)</f>
        <v/>
      </c>
      <c r="I197" s="43"/>
      <c r="J197" s="18" t="str">
        <f aca="false">IF(B197="","",IF(A197=MAX($A$5:$A$304),"LAST — CLEAR INPUTS TO UNDO",IF(AND(D197&lt;&gt;"",E197&lt;&gt;""),"LOGGED","INCOMPLETE")))</f>
        <v/>
      </c>
      <c r="K197" s="18" t="str">
        <f aca="false">IFERROR(INDEX('Player Board'!$AA$5:$AA$304,MATCH(B197,'Player Board'!$A$5:$A$304,0)),"")</f>
        <v/>
      </c>
    </row>
    <row r="198" customFormat="false" ht="18" hidden="false" customHeight="true" outlineLevel="0" collapsed="false">
      <c r="A198" s="18" t="str">
        <f aca="false">IF(B198="","",ROW()-4)</f>
        <v/>
      </c>
      <c r="B198" s="43"/>
      <c r="C198" s="18" t="str">
        <f aca="false">IFERROR(INDEX('Player Board'!$G$5:$G$304,MATCH(B198,'Player Board'!$A$5:$A$304,0)),"")</f>
        <v/>
      </c>
      <c r="D198" s="43"/>
      <c r="E198" s="44"/>
      <c r="F198" s="44"/>
      <c r="G198" s="19" t="str">
        <f aca="false">IFERROR(INDEX('Player Board'!$R$5:$R$304,MATCH(B198,'Player Board'!$A$5:$A$304,0)),"")</f>
        <v/>
      </c>
      <c r="H198" s="19" t="str">
        <f aca="false">IF(E198="","",G198-E198)</f>
        <v/>
      </c>
      <c r="I198" s="43"/>
      <c r="J198" s="18" t="str">
        <f aca="false">IF(B198="","",IF(A198=MAX($A$5:$A$304),"LAST — CLEAR INPUTS TO UNDO",IF(AND(D198&lt;&gt;"",E198&lt;&gt;""),"LOGGED","INCOMPLETE")))</f>
        <v/>
      </c>
      <c r="K198" s="18" t="str">
        <f aca="false">IFERROR(INDEX('Player Board'!$AA$5:$AA$304,MATCH(B198,'Player Board'!$A$5:$A$304,0)),"")</f>
        <v/>
      </c>
    </row>
    <row r="199" customFormat="false" ht="18" hidden="false" customHeight="true" outlineLevel="0" collapsed="false">
      <c r="A199" s="18" t="str">
        <f aca="false">IF(B199="","",ROW()-4)</f>
        <v/>
      </c>
      <c r="B199" s="43"/>
      <c r="C199" s="18" t="str">
        <f aca="false">IFERROR(INDEX('Player Board'!$G$5:$G$304,MATCH(B199,'Player Board'!$A$5:$A$304,0)),"")</f>
        <v/>
      </c>
      <c r="D199" s="43"/>
      <c r="E199" s="44"/>
      <c r="F199" s="44"/>
      <c r="G199" s="19" t="str">
        <f aca="false">IFERROR(INDEX('Player Board'!$R$5:$R$304,MATCH(B199,'Player Board'!$A$5:$A$304,0)),"")</f>
        <v/>
      </c>
      <c r="H199" s="19" t="str">
        <f aca="false">IF(E199="","",G199-E199)</f>
        <v/>
      </c>
      <c r="I199" s="43"/>
      <c r="J199" s="18" t="str">
        <f aca="false">IF(B199="","",IF(A199=MAX($A$5:$A$304),"LAST — CLEAR INPUTS TO UNDO",IF(AND(D199&lt;&gt;"",E199&lt;&gt;""),"LOGGED","INCOMPLETE")))</f>
        <v/>
      </c>
      <c r="K199" s="18" t="str">
        <f aca="false">IFERROR(INDEX('Player Board'!$AA$5:$AA$304,MATCH(B199,'Player Board'!$A$5:$A$304,0)),"")</f>
        <v/>
      </c>
    </row>
    <row r="200" customFormat="false" ht="18" hidden="false" customHeight="true" outlineLevel="0" collapsed="false">
      <c r="A200" s="18" t="str">
        <f aca="false">IF(B200="","",ROW()-4)</f>
        <v/>
      </c>
      <c r="B200" s="43"/>
      <c r="C200" s="18" t="str">
        <f aca="false">IFERROR(INDEX('Player Board'!$G$5:$G$304,MATCH(B200,'Player Board'!$A$5:$A$304,0)),"")</f>
        <v/>
      </c>
      <c r="D200" s="43"/>
      <c r="E200" s="44"/>
      <c r="F200" s="44"/>
      <c r="G200" s="19" t="str">
        <f aca="false">IFERROR(INDEX('Player Board'!$R$5:$R$304,MATCH(B200,'Player Board'!$A$5:$A$304,0)),"")</f>
        <v/>
      </c>
      <c r="H200" s="19" t="str">
        <f aca="false">IF(E200="","",G200-E200)</f>
        <v/>
      </c>
      <c r="I200" s="43"/>
      <c r="J200" s="18" t="str">
        <f aca="false">IF(B200="","",IF(A200=MAX($A$5:$A$304),"LAST — CLEAR INPUTS TO UNDO",IF(AND(D200&lt;&gt;"",E200&lt;&gt;""),"LOGGED","INCOMPLETE")))</f>
        <v/>
      </c>
      <c r="K200" s="18" t="str">
        <f aca="false">IFERROR(INDEX('Player Board'!$AA$5:$AA$304,MATCH(B200,'Player Board'!$A$5:$A$304,0)),"")</f>
        <v/>
      </c>
    </row>
    <row r="201" customFormat="false" ht="18" hidden="false" customHeight="true" outlineLevel="0" collapsed="false">
      <c r="A201" s="18" t="str">
        <f aca="false">IF(B201="","",ROW()-4)</f>
        <v/>
      </c>
      <c r="B201" s="43"/>
      <c r="C201" s="18" t="str">
        <f aca="false">IFERROR(INDEX('Player Board'!$G$5:$G$304,MATCH(B201,'Player Board'!$A$5:$A$304,0)),"")</f>
        <v/>
      </c>
      <c r="D201" s="43"/>
      <c r="E201" s="44"/>
      <c r="F201" s="44"/>
      <c r="G201" s="19" t="str">
        <f aca="false">IFERROR(INDEX('Player Board'!$R$5:$R$304,MATCH(B201,'Player Board'!$A$5:$A$304,0)),"")</f>
        <v/>
      </c>
      <c r="H201" s="19" t="str">
        <f aca="false">IF(E201="","",G201-E201)</f>
        <v/>
      </c>
      <c r="I201" s="43"/>
      <c r="J201" s="18" t="str">
        <f aca="false">IF(B201="","",IF(A201=MAX($A$5:$A$304),"LAST — CLEAR INPUTS TO UNDO",IF(AND(D201&lt;&gt;"",E201&lt;&gt;""),"LOGGED","INCOMPLETE")))</f>
        <v/>
      </c>
      <c r="K201" s="18" t="str">
        <f aca="false">IFERROR(INDEX('Player Board'!$AA$5:$AA$304,MATCH(B201,'Player Board'!$A$5:$A$304,0)),"")</f>
        <v/>
      </c>
    </row>
    <row r="202" customFormat="false" ht="18" hidden="false" customHeight="true" outlineLevel="0" collapsed="false">
      <c r="A202" s="18" t="str">
        <f aca="false">IF(B202="","",ROW()-4)</f>
        <v/>
      </c>
      <c r="B202" s="43"/>
      <c r="C202" s="18" t="str">
        <f aca="false">IFERROR(INDEX('Player Board'!$G$5:$G$304,MATCH(B202,'Player Board'!$A$5:$A$304,0)),"")</f>
        <v/>
      </c>
      <c r="D202" s="43"/>
      <c r="E202" s="44"/>
      <c r="F202" s="44"/>
      <c r="G202" s="19" t="str">
        <f aca="false">IFERROR(INDEX('Player Board'!$R$5:$R$304,MATCH(B202,'Player Board'!$A$5:$A$304,0)),"")</f>
        <v/>
      </c>
      <c r="H202" s="19" t="str">
        <f aca="false">IF(E202="","",G202-E202)</f>
        <v/>
      </c>
      <c r="I202" s="43"/>
      <c r="J202" s="18" t="str">
        <f aca="false">IF(B202="","",IF(A202=MAX($A$5:$A$304),"LAST — CLEAR INPUTS TO UNDO",IF(AND(D202&lt;&gt;"",E202&lt;&gt;""),"LOGGED","INCOMPLETE")))</f>
        <v/>
      </c>
      <c r="K202" s="18" t="str">
        <f aca="false">IFERROR(INDEX('Player Board'!$AA$5:$AA$304,MATCH(B202,'Player Board'!$A$5:$A$304,0)),"")</f>
        <v/>
      </c>
    </row>
    <row r="203" customFormat="false" ht="18" hidden="false" customHeight="true" outlineLevel="0" collapsed="false">
      <c r="A203" s="18" t="str">
        <f aca="false">IF(B203="","",ROW()-4)</f>
        <v/>
      </c>
      <c r="B203" s="43"/>
      <c r="C203" s="18" t="str">
        <f aca="false">IFERROR(INDEX('Player Board'!$G$5:$G$304,MATCH(B203,'Player Board'!$A$5:$A$304,0)),"")</f>
        <v/>
      </c>
      <c r="D203" s="43"/>
      <c r="E203" s="44"/>
      <c r="F203" s="44"/>
      <c r="G203" s="19" t="str">
        <f aca="false">IFERROR(INDEX('Player Board'!$R$5:$R$304,MATCH(B203,'Player Board'!$A$5:$A$304,0)),"")</f>
        <v/>
      </c>
      <c r="H203" s="19" t="str">
        <f aca="false">IF(E203="","",G203-E203)</f>
        <v/>
      </c>
      <c r="I203" s="43"/>
      <c r="J203" s="18" t="str">
        <f aca="false">IF(B203="","",IF(A203=MAX($A$5:$A$304),"LAST — CLEAR INPUTS TO UNDO",IF(AND(D203&lt;&gt;"",E203&lt;&gt;""),"LOGGED","INCOMPLETE")))</f>
        <v/>
      </c>
      <c r="K203" s="18" t="str">
        <f aca="false">IFERROR(INDEX('Player Board'!$AA$5:$AA$304,MATCH(B203,'Player Board'!$A$5:$A$304,0)),"")</f>
        <v/>
      </c>
    </row>
    <row r="204" customFormat="false" ht="18" hidden="false" customHeight="true" outlineLevel="0" collapsed="false">
      <c r="A204" s="18" t="str">
        <f aca="false">IF(B204="","",ROW()-4)</f>
        <v/>
      </c>
      <c r="B204" s="43"/>
      <c r="C204" s="18" t="str">
        <f aca="false">IFERROR(INDEX('Player Board'!$G$5:$G$304,MATCH(B204,'Player Board'!$A$5:$A$304,0)),"")</f>
        <v/>
      </c>
      <c r="D204" s="43"/>
      <c r="E204" s="44"/>
      <c r="F204" s="44"/>
      <c r="G204" s="19" t="str">
        <f aca="false">IFERROR(INDEX('Player Board'!$R$5:$R$304,MATCH(B204,'Player Board'!$A$5:$A$304,0)),"")</f>
        <v/>
      </c>
      <c r="H204" s="19" t="str">
        <f aca="false">IF(E204="","",G204-E204)</f>
        <v/>
      </c>
      <c r="I204" s="43"/>
      <c r="J204" s="18" t="str">
        <f aca="false">IF(B204="","",IF(A204=MAX($A$5:$A$304),"LAST — CLEAR INPUTS TO UNDO",IF(AND(D204&lt;&gt;"",E204&lt;&gt;""),"LOGGED","INCOMPLETE")))</f>
        <v/>
      </c>
      <c r="K204" s="18" t="str">
        <f aca="false">IFERROR(INDEX('Player Board'!$AA$5:$AA$304,MATCH(B204,'Player Board'!$A$5:$A$304,0)),"")</f>
        <v/>
      </c>
    </row>
    <row r="205" customFormat="false" ht="18" hidden="false" customHeight="true" outlineLevel="0" collapsed="false">
      <c r="A205" s="18" t="str">
        <f aca="false">IF(B205="","",ROW()-4)</f>
        <v/>
      </c>
      <c r="B205" s="43"/>
      <c r="C205" s="18" t="str">
        <f aca="false">IFERROR(INDEX('Player Board'!$G$5:$G$304,MATCH(B205,'Player Board'!$A$5:$A$304,0)),"")</f>
        <v/>
      </c>
      <c r="D205" s="43"/>
      <c r="E205" s="44"/>
      <c r="F205" s="44"/>
      <c r="G205" s="19" t="str">
        <f aca="false">IFERROR(INDEX('Player Board'!$R$5:$R$304,MATCH(B205,'Player Board'!$A$5:$A$304,0)),"")</f>
        <v/>
      </c>
      <c r="H205" s="19" t="str">
        <f aca="false">IF(E205="","",G205-E205)</f>
        <v/>
      </c>
      <c r="I205" s="43"/>
      <c r="J205" s="18" t="str">
        <f aca="false">IF(B205="","",IF(A205=MAX($A$5:$A$304),"LAST — CLEAR INPUTS TO UNDO",IF(AND(D205&lt;&gt;"",E205&lt;&gt;""),"LOGGED","INCOMPLETE")))</f>
        <v/>
      </c>
      <c r="K205" s="18" t="str">
        <f aca="false">IFERROR(INDEX('Player Board'!$AA$5:$AA$304,MATCH(B205,'Player Board'!$A$5:$A$304,0)),"")</f>
        <v/>
      </c>
    </row>
    <row r="206" customFormat="false" ht="18" hidden="false" customHeight="true" outlineLevel="0" collapsed="false">
      <c r="A206" s="18" t="str">
        <f aca="false">IF(B206="","",ROW()-4)</f>
        <v/>
      </c>
      <c r="B206" s="43"/>
      <c r="C206" s="18" t="str">
        <f aca="false">IFERROR(INDEX('Player Board'!$G$5:$G$304,MATCH(B206,'Player Board'!$A$5:$A$304,0)),"")</f>
        <v/>
      </c>
      <c r="D206" s="43"/>
      <c r="E206" s="44"/>
      <c r="F206" s="44"/>
      <c r="G206" s="19" t="str">
        <f aca="false">IFERROR(INDEX('Player Board'!$R$5:$R$304,MATCH(B206,'Player Board'!$A$5:$A$304,0)),"")</f>
        <v/>
      </c>
      <c r="H206" s="19" t="str">
        <f aca="false">IF(E206="","",G206-E206)</f>
        <v/>
      </c>
      <c r="I206" s="43"/>
      <c r="J206" s="18" t="str">
        <f aca="false">IF(B206="","",IF(A206=MAX($A$5:$A$304),"LAST — CLEAR INPUTS TO UNDO",IF(AND(D206&lt;&gt;"",E206&lt;&gt;""),"LOGGED","INCOMPLETE")))</f>
        <v/>
      </c>
      <c r="K206" s="18" t="str">
        <f aca="false">IFERROR(INDEX('Player Board'!$AA$5:$AA$304,MATCH(B206,'Player Board'!$A$5:$A$304,0)),"")</f>
        <v/>
      </c>
    </row>
    <row r="207" customFormat="false" ht="18" hidden="false" customHeight="true" outlineLevel="0" collapsed="false">
      <c r="A207" s="18" t="str">
        <f aca="false">IF(B207="","",ROW()-4)</f>
        <v/>
      </c>
      <c r="B207" s="43"/>
      <c r="C207" s="18" t="str">
        <f aca="false">IFERROR(INDEX('Player Board'!$G$5:$G$304,MATCH(B207,'Player Board'!$A$5:$A$304,0)),"")</f>
        <v/>
      </c>
      <c r="D207" s="43"/>
      <c r="E207" s="44"/>
      <c r="F207" s="44"/>
      <c r="G207" s="19" t="str">
        <f aca="false">IFERROR(INDEX('Player Board'!$R$5:$R$304,MATCH(B207,'Player Board'!$A$5:$A$304,0)),"")</f>
        <v/>
      </c>
      <c r="H207" s="19" t="str">
        <f aca="false">IF(E207="","",G207-E207)</f>
        <v/>
      </c>
      <c r="I207" s="43"/>
      <c r="J207" s="18" t="str">
        <f aca="false">IF(B207="","",IF(A207=MAX($A$5:$A$304),"LAST — CLEAR INPUTS TO UNDO",IF(AND(D207&lt;&gt;"",E207&lt;&gt;""),"LOGGED","INCOMPLETE")))</f>
        <v/>
      </c>
      <c r="K207" s="18" t="str">
        <f aca="false">IFERROR(INDEX('Player Board'!$AA$5:$AA$304,MATCH(B207,'Player Board'!$A$5:$A$304,0)),"")</f>
        <v/>
      </c>
    </row>
    <row r="208" customFormat="false" ht="18" hidden="false" customHeight="true" outlineLevel="0" collapsed="false">
      <c r="A208" s="18" t="str">
        <f aca="false">IF(B208="","",ROW()-4)</f>
        <v/>
      </c>
      <c r="B208" s="43"/>
      <c r="C208" s="18" t="str">
        <f aca="false">IFERROR(INDEX('Player Board'!$G$5:$G$304,MATCH(B208,'Player Board'!$A$5:$A$304,0)),"")</f>
        <v/>
      </c>
      <c r="D208" s="43"/>
      <c r="E208" s="44"/>
      <c r="F208" s="44"/>
      <c r="G208" s="19" t="str">
        <f aca="false">IFERROR(INDEX('Player Board'!$R$5:$R$304,MATCH(B208,'Player Board'!$A$5:$A$304,0)),"")</f>
        <v/>
      </c>
      <c r="H208" s="19" t="str">
        <f aca="false">IF(E208="","",G208-E208)</f>
        <v/>
      </c>
      <c r="I208" s="43"/>
      <c r="J208" s="18" t="str">
        <f aca="false">IF(B208="","",IF(A208=MAX($A$5:$A$304),"LAST — CLEAR INPUTS TO UNDO",IF(AND(D208&lt;&gt;"",E208&lt;&gt;""),"LOGGED","INCOMPLETE")))</f>
        <v/>
      </c>
      <c r="K208" s="18" t="str">
        <f aca="false">IFERROR(INDEX('Player Board'!$AA$5:$AA$304,MATCH(B208,'Player Board'!$A$5:$A$304,0)),"")</f>
        <v/>
      </c>
    </row>
    <row r="209" customFormat="false" ht="18" hidden="false" customHeight="true" outlineLevel="0" collapsed="false">
      <c r="A209" s="18" t="str">
        <f aca="false">IF(B209="","",ROW()-4)</f>
        <v/>
      </c>
      <c r="B209" s="43"/>
      <c r="C209" s="18" t="str">
        <f aca="false">IFERROR(INDEX('Player Board'!$G$5:$G$304,MATCH(B209,'Player Board'!$A$5:$A$304,0)),"")</f>
        <v/>
      </c>
      <c r="D209" s="43"/>
      <c r="E209" s="44"/>
      <c r="F209" s="44"/>
      <c r="G209" s="19" t="str">
        <f aca="false">IFERROR(INDEX('Player Board'!$R$5:$R$304,MATCH(B209,'Player Board'!$A$5:$A$304,0)),"")</f>
        <v/>
      </c>
      <c r="H209" s="19" t="str">
        <f aca="false">IF(E209="","",G209-E209)</f>
        <v/>
      </c>
      <c r="I209" s="43"/>
      <c r="J209" s="18" t="str">
        <f aca="false">IF(B209="","",IF(A209=MAX($A$5:$A$304),"LAST — CLEAR INPUTS TO UNDO",IF(AND(D209&lt;&gt;"",E209&lt;&gt;""),"LOGGED","INCOMPLETE")))</f>
        <v/>
      </c>
      <c r="K209" s="18" t="str">
        <f aca="false">IFERROR(INDEX('Player Board'!$AA$5:$AA$304,MATCH(B209,'Player Board'!$A$5:$A$304,0)),"")</f>
        <v/>
      </c>
    </row>
    <row r="210" customFormat="false" ht="18" hidden="false" customHeight="true" outlineLevel="0" collapsed="false">
      <c r="A210" s="18" t="str">
        <f aca="false">IF(B210="","",ROW()-4)</f>
        <v/>
      </c>
      <c r="B210" s="43"/>
      <c r="C210" s="18" t="str">
        <f aca="false">IFERROR(INDEX('Player Board'!$G$5:$G$304,MATCH(B210,'Player Board'!$A$5:$A$304,0)),"")</f>
        <v/>
      </c>
      <c r="D210" s="43"/>
      <c r="E210" s="44"/>
      <c r="F210" s="44"/>
      <c r="G210" s="19" t="str">
        <f aca="false">IFERROR(INDEX('Player Board'!$R$5:$R$304,MATCH(B210,'Player Board'!$A$5:$A$304,0)),"")</f>
        <v/>
      </c>
      <c r="H210" s="19" t="str">
        <f aca="false">IF(E210="","",G210-E210)</f>
        <v/>
      </c>
      <c r="I210" s="43"/>
      <c r="J210" s="18" t="str">
        <f aca="false">IF(B210="","",IF(A210=MAX($A$5:$A$304),"LAST — CLEAR INPUTS TO UNDO",IF(AND(D210&lt;&gt;"",E210&lt;&gt;""),"LOGGED","INCOMPLETE")))</f>
        <v/>
      </c>
      <c r="K210" s="18" t="str">
        <f aca="false">IFERROR(INDEX('Player Board'!$AA$5:$AA$304,MATCH(B210,'Player Board'!$A$5:$A$304,0)),"")</f>
        <v/>
      </c>
    </row>
    <row r="211" customFormat="false" ht="18" hidden="false" customHeight="true" outlineLevel="0" collapsed="false">
      <c r="A211" s="18" t="str">
        <f aca="false">IF(B211="","",ROW()-4)</f>
        <v/>
      </c>
      <c r="B211" s="43"/>
      <c r="C211" s="18" t="str">
        <f aca="false">IFERROR(INDEX('Player Board'!$G$5:$G$304,MATCH(B211,'Player Board'!$A$5:$A$304,0)),"")</f>
        <v/>
      </c>
      <c r="D211" s="43"/>
      <c r="E211" s="44"/>
      <c r="F211" s="44"/>
      <c r="G211" s="19" t="str">
        <f aca="false">IFERROR(INDEX('Player Board'!$R$5:$R$304,MATCH(B211,'Player Board'!$A$5:$A$304,0)),"")</f>
        <v/>
      </c>
      <c r="H211" s="19" t="str">
        <f aca="false">IF(E211="","",G211-E211)</f>
        <v/>
      </c>
      <c r="I211" s="43"/>
      <c r="J211" s="18" t="str">
        <f aca="false">IF(B211="","",IF(A211=MAX($A$5:$A$304),"LAST — CLEAR INPUTS TO UNDO",IF(AND(D211&lt;&gt;"",E211&lt;&gt;""),"LOGGED","INCOMPLETE")))</f>
        <v/>
      </c>
      <c r="K211" s="18" t="str">
        <f aca="false">IFERROR(INDEX('Player Board'!$AA$5:$AA$304,MATCH(B211,'Player Board'!$A$5:$A$304,0)),"")</f>
        <v/>
      </c>
    </row>
    <row r="212" customFormat="false" ht="18" hidden="false" customHeight="true" outlineLevel="0" collapsed="false">
      <c r="A212" s="18" t="str">
        <f aca="false">IF(B212="","",ROW()-4)</f>
        <v/>
      </c>
      <c r="B212" s="43"/>
      <c r="C212" s="18" t="str">
        <f aca="false">IFERROR(INDEX('Player Board'!$G$5:$G$304,MATCH(B212,'Player Board'!$A$5:$A$304,0)),"")</f>
        <v/>
      </c>
      <c r="D212" s="43"/>
      <c r="E212" s="44"/>
      <c r="F212" s="44"/>
      <c r="G212" s="19" t="str">
        <f aca="false">IFERROR(INDEX('Player Board'!$R$5:$R$304,MATCH(B212,'Player Board'!$A$5:$A$304,0)),"")</f>
        <v/>
      </c>
      <c r="H212" s="19" t="str">
        <f aca="false">IF(E212="","",G212-E212)</f>
        <v/>
      </c>
      <c r="I212" s="43"/>
      <c r="J212" s="18" t="str">
        <f aca="false">IF(B212="","",IF(A212=MAX($A$5:$A$304),"LAST — CLEAR INPUTS TO UNDO",IF(AND(D212&lt;&gt;"",E212&lt;&gt;""),"LOGGED","INCOMPLETE")))</f>
        <v/>
      </c>
      <c r="K212" s="18" t="str">
        <f aca="false">IFERROR(INDEX('Player Board'!$AA$5:$AA$304,MATCH(B212,'Player Board'!$A$5:$A$304,0)),"")</f>
        <v/>
      </c>
    </row>
    <row r="213" customFormat="false" ht="18" hidden="false" customHeight="true" outlineLevel="0" collapsed="false">
      <c r="A213" s="18" t="str">
        <f aca="false">IF(B213="","",ROW()-4)</f>
        <v/>
      </c>
      <c r="B213" s="43"/>
      <c r="C213" s="18" t="str">
        <f aca="false">IFERROR(INDEX('Player Board'!$G$5:$G$304,MATCH(B213,'Player Board'!$A$5:$A$304,0)),"")</f>
        <v/>
      </c>
      <c r="D213" s="43"/>
      <c r="E213" s="44"/>
      <c r="F213" s="44"/>
      <c r="G213" s="19" t="str">
        <f aca="false">IFERROR(INDEX('Player Board'!$R$5:$R$304,MATCH(B213,'Player Board'!$A$5:$A$304,0)),"")</f>
        <v/>
      </c>
      <c r="H213" s="19" t="str">
        <f aca="false">IF(E213="","",G213-E213)</f>
        <v/>
      </c>
      <c r="I213" s="43"/>
      <c r="J213" s="18" t="str">
        <f aca="false">IF(B213="","",IF(A213=MAX($A$5:$A$304),"LAST — CLEAR INPUTS TO UNDO",IF(AND(D213&lt;&gt;"",E213&lt;&gt;""),"LOGGED","INCOMPLETE")))</f>
        <v/>
      </c>
      <c r="K213" s="18" t="str">
        <f aca="false">IFERROR(INDEX('Player Board'!$AA$5:$AA$304,MATCH(B213,'Player Board'!$A$5:$A$304,0)),"")</f>
        <v/>
      </c>
    </row>
    <row r="214" customFormat="false" ht="18" hidden="false" customHeight="true" outlineLevel="0" collapsed="false">
      <c r="A214" s="18" t="str">
        <f aca="false">IF(B214="","",ROW()-4)</f>
        <v/>
      </c>
      <c r="B214" s="43"/>
      <c r="C214" s="18" t="str">
        <f aca="false">IFERROR(INDEX('Player Board'!$G$5:$G$304,MATCH(B214,'Player Board'!$A$5:$A$304,0)),"")</f>
        <v/>
      </c>
      <c r="D214" s="43"/>
      <c r="E214" s="44"/>
      <c r="F214" s="44"/>
      <c r="G214" s="19" t="str">
        <f aca="false">IFERROR(INDEX('Player Board'!$R$5:$R$304,MATCH(B214,'Player Board'!$A$5:$A$304,0)),"")</f>
        <v/>
      </c>
      <c r="H214" s="19" t="str">
        <f aca="false">IF(E214="","",G214-E214)</f>
        <v/>
      </c>
      <c r="I214" s="43"/>
      <c r="J214" s="18" t="str">
        <f aca="false">IF(B214="","",IF(A214=MAX($A$5:$A$304),"LAST — CLEAR INPUTS TO UNDO",IF(AND(D214&lt;&gt;"",E214&lt;&gt;""),"LOGGED","INCOMPLETE")))</f>
        <v/>
      </c>
      <c r="K214" s="18" t="str">
        <f aca="false">IFERROR(INDEX('Player Board'!$AA$5:$AA$304,MATCH(B214,'Player Board'!$A$5:$A$304,0)),"")</f>
        <v/>
      </c>
    </row>
    <row r="215" customFormat="false" ht="18" hidden="false" customHeight="true" outlineLevel="0" collapsed="false">
      <c r="A215" s="18" t="str">
        <f aca="false">IF(B215="","",ROW()-4)</f>
        <v/>
      </c>
      <c r="B215" s="43"/>
      <c r="C215" s="18" t="str">
        <f aca="false">IFERROR(INDEX('Player Board'!$G$5:$G$304,MATCH(B215,'Player Board'!$A$5:$A$304,0)),"")</f>
        <v/>
      </c>
      <c r="D215" s="43"/>
      <c r="E215" s="44"/>
      <c r="F215" s="44"/>
      <c r="G215" s="19" t="str">
        <f aca="false">IFERROR(INDEX('Player Board'!$R$5:$R$304,MATCH(B215,'Player Board'!$A$5:$A$304,0)),"")</f>
        <v/>
      </c>
      <c r="H215" s="19" t="str">
        <f aca="false">IF(E215="","",G215-E215)</f>
        <v/>
      </c>
      <c r="I215" s="43"/>
      <c r="J215" s="18" t="str">
        <f aca="false">IF(B215="","",IF(A215=MAX($A$5:$A$304),"LAST — CLEAR INPUTS TO UNDO",IF(AND(D215&lt;&gt;"",E215&lt;&gt;""),"LOGGED","INCOMPLETE")))</f>
        <v/>
      </c>
      <c r="K215" s="18" t="str">
        <f aca="false">IFERROR(INDEX('Player Board'!$AA$5:$AA$304,MATCH(B215,'Player Board'!$A$5:$A$304,0)),"")</f>
        <v/>
      </c>
    </row>
    <row r="216" customFormat="false" ht="18" hidden="false" customHeight="true" outlineLevel="0" collapsed="false">
      <c r="A216" s="18" t="str">
        <f aca="false">IF(B216="","",ROW()-4)</f>
        <v/>
      </c>
      <c r="B216" s="43"/>
      <c r="C216" s="18" t="str">
        <f aca="false">IFERROR(INDEX('Player Board'!$G$5:$G$304,MATCH(B216,'Player Board'!$A$5:$A$304,0)),"")</f>
        <v/>
      </c>
      <c r="D216" s="43"/>
      <c r="E216" s="44"/>
      <c r="F216" s="44"/>
      <c r="G216" s="19" t="str">
        <f aca="false">IFERROR(INDEX('Player Board'!$R$5:$R$304,MATCH(B216,'Player Board'!$A$5:$A$304,0)),"")</f>
        <v/>
      </c>
      <c r="H216" s="19" t="str">
        <f aca="false">IF(E216="","",G216-E216)</f>
        <v/>
      </c>
      <c r="I216" s="43"/>
      <c r="J216" s="18" t="str">
        <f aca="false">IF(B216="","",IF(A216=MAX($A$5:$A$304),"LAST — CLEAR INPUTS TO UNDO",IF(AND(D216&lt;&gt;"",E216&lt;&gt;""),"LOGGED","INCOMPLETE")))</f>
        <v/>
      </c>
      <c r="K216" s="18" t="str">
        <f aca="false">IFERROR(INDEX('Player Board'!$AA$5:$AA$304,MATCH(B216,'Player Board'!$A$5:$A$304,0)),"")</f>
        <v/>
      </c>
    </row>
    <row r="217" customFormat="false" ht="18" hidden="false" customHeight="true" outlineLevel="0" collapsed="false">
      <c r="A217" s="18" t="str">
        <f aca="false">IF(B217="","",ROW()-4)</f>
        <v/>
      </c>
      <c r="B217" s="43"/>
      <c r="C217" s="18" t="str">
        <f aca="false">IFERROR(INDEX('Player Board'!$G$5:$G$304,MATCH(B217,'Player Board'!$A$5:$A$304,0)),"")</f>
        <v/>
      </c>
      <c r="D217" s="43"/>
      <c r="E217" s="44"/>
      <c r="F217" s="44"/>
      <c r="G217" s="19" t="str">
        <f aca="false">IFERROR(INDEX('Player Board'!$R$5:$R$304,MATCH(B217,'Player Board'!$A$5:$A$304,0)),"")</f>
        <v/>
      </c>
      <c r="H217" s="19" t="str">
        <f aca="false">IF(E217="","",G217-E217)</f>
        <v/>
      </c>
      <c r="I217" s="43"/>
      <c r="J217" s="18" t="str">
        <f aca="false">IF(B217="","",IF(A217=MAX($A$5:$A$304),"LAST — CLEAR INPUTS TO UNDO",IF(AND(D217&lt;&gt;"",E217&lt;&gt;""),"LOGGED","INCOMPLETE")))</f>
        <v/>
      </c>
      <c r="K217" s="18" t="str">
        <f aca="false">IFERROR(INDEX('Player Board'!$AA$5:$AA$304,MATCH(B217,'Player Board'!$A$5:$A$304,0)),"")</f>
        <v/>
      </c>
    </row>
    <row r="218" customFormat="false" ht="18" hidden="false" customHeight="true" outlineLevel="0" collapsed="false">
      <c r="A218" s="18" t="str">
        <f aca="false">IF(B218="","",ROW()-4)</f>
        <v/>
      </c>
      <c r="B218" s="43"/>
      <c r="C218" s="18" t="str">
        <f aca="false">IFERROR(INDEX('Player Board'!$G$5:$G$304,MATCH(B218,'Player Board'!$A$5:$A$304,0)),"")</f>
        <v/>
      </c>
      <c r="D218" s="43"/>
      <c r="E218" s="44"/>
      <c r="F218" s="44"/>
      <c r="G218" s="19" t="str">
        <f aca="false">IFERROR(INDEX('Player Board'!$R$5:$R$304,MATCH(B218,'Player Board'!$A$5:$A$304,0)),"")</f>
        <v/>
      </c>
      <c r="H218" s="19" t="str">
        <f aca="false">IF(E218="","",G218-E218)</f>
        <v/>
      </c>
      <c r="I218" s="43"/>
      <c r="J218" s="18" t="str">
        <f aca="false">IF(B218="","",IF(A218=MAX($A$5:$A$304),"LAST — CLEAR INPUTS TO UNDO",IF(AND(D218&lt;&gt;"",E218&lt;&gt;""),"LOGGED","INCOMPLETE")))</f>
        <v/>
      </c>
      <c r="K218" s="18" t="str">
        <f aca="false">IFERROR(INDEX('Player Board'!$AA$5:$AA$304,MATCH(B218,'Player Board'!$A$5:$A$304,0)),"")</f>
        <v/>
      </c>
    </row>
    <row r="219" customFormat="false" ht="18" hidden="false" customHeight="true" outlineLevel="0" collapsed="false">
      <c r="A219" s="18" t="str">
        <f aca="false">IF(B219="","",ROW()-4)</f>
        <v/>
      </c>
      <c r="B219" s="43"/>
      <c r="C219" s="18" t="str">
        <f aca="false">IFERROR(INDEX('Player Board'!$G$5:$G$304,MATCH(B219,'Player Board'!$A$5:$A$304,0)),"")</f>
        <v/>
      </c>
      <c r="D219" s="43"/>
      <c r="E219" s="44"/>
      <c r="F219" s="44"/>
      <c r="G219" s="19" t="str">
        <f aca="false">IFERROR(INDEX('Player Board'!$R$5:$R$304,MATCH(B219,'Player Board'!$A$5:$A$304,0)),"")</f>
        <v/>
      </c>
      <c r="H219" s="19" t="str">
        <f aca="false">IF(E219="","",G219-E219)</f>
        <v/>
      </c>
      <c r="I219" s="43"/>
      <c r="J219" s="18" t="str">
        <f aca="false">IF(B219="","",IF(A219=MAX($A$5:$A$304),"LAST — CLEAR INPUTS TO UNDO",IF(AND(D219&lt;&gt;"",E219&lt;&gt;""),"LOGGED","INCOMPLETE")))</f>
        <v/>
      </c>
      <c r="K219" s="18" t="str">
        <f aca="false">IFERROR(INDEX('Player Board'!$AA$5:$AA$304,MATCH(B219,'Player Board'!$A$5:$A$304,0)),"")</f>
        <v/>
      </c>
    </row>
    <row r="220" customFormat="false" ht="18" hidden="false" customHeight="true" outlineLevel="0" collapsed="false">
      <c r="A220" s="18" t="str">
        <f aca="false">IF(B220="","",ROW()-4)</f>
        <v/>
      </c>
      <c r="B220" s="43"/>
      <c r="C220" s="18" t="str">
        <f aca="false">IFERROR(INDEX('Player Board'!$G$5:$G$304,MATCH(B220,'Player Board'!$A$5:$A$304,0)),"")</f>
        <v/>
      </c>
      <c r="D220" s="43"/>
      <c r="E220" s="44"/>
      <c r="F220" s="44"/>
      <c r="G220" s="19" t="str">
        <f aca="false">IFERROR(INDEX('Player Board'!$R$5:$R$304,MATCH(B220,'Player Board'!$A$5:$A$304,0)),"")</f>
        <v/>
      </c>
      <c r="H220" s="19" t="str">
        <f aca="false">IF(E220="","",G220-E220)</f>
        <v/>
      </c>
      <c r="I220" s="43"/>
      <c r="J220" s="18" t="str">
        <f aca="false">IF(B220="","",IF(A220=MAX($A$5:$A$304),"LAST — CLEAR INPUTS TO UNDO",IF(AND(D220&lt;&gt;"",E220&lt;&gt;""),"LOGGED","INCOMPLETE")))</f>
        <v/>
      </c>
      <c r="K220" s="18" t="str">
        <f aca="false">IFERROR(INDEX('Player Board'!$AA$5:$AA$304,MATCH(B220,'Player Board'!$A$5:$A$304,0)),"")</f>
        <v/>
      </c>
    </row>
    <row r="221" customFormat="false" ht="18" hidden="false" customHeight="true" outlineLevel="0" collapsed="false">
      <c r="A221" s="18" t="str">
        <f aca="false">IF(B221="","",ROW()-4)</f>
        <v/>
      </c>
      <c r="B221" s="43"/>
      <c r="C221" s="18" t="str">
        <f aca="false">IFERROR(INDEX('Player Board'!$G$5:$G$304,MATCH(B221,'Player Board'!$A$5:$A$304,0)),"")</f>
        <v/>
      </c>
      <c r="D221" s="43"/>
      <c r="E221" s="44"/>
      <c r="F221" s="44"/>
      <c r="G221" s="19" t="str">
        <f aca="false">IFERROR(INDEX('Player Board'!$R$5:$R$304,MATCH(B221,'Player Board'!$A$5:$A$304,0)),"")</f>
        <v/>
      </c>
      <c r="H221" s="19" t="str">
        <f aca="false">IF(E221="","",G221-E221)</f>
        <v/>
      </c>
      <c r="I221" s="43"/>
      <c r="J221" s="18" t="str">
        <f aca="false">IF(B221="","",IF(A221=MAX($A$5:$A$304),"LAST — CLEAR INPUTS TO UNDO",IF(AND(D221&lt;&gt;"",E221&lt;&gt;""),"LOGGED","INCOMPLETE")))</f>
        <v/>
      </c>
      <c r="K221" s="18" t="str">
        <f aca="false">IFERROR(INDEX('Player Board'!$AA$5:$AA$304,MATCH(B221,'Player Board'!$A$5:$A$304,0)),"")</f>
        <v/>
      </c>
    </row>
    <row r="222" customFormat="false" ht="18" hidden="false" customHeight="true" outlineLevel="0" collapsed="false">
      <c r="A222" s="18" t="str">
        <f aca="false">IF(B222="","",ROW()-4)</f>
        <v/>
      </c>
      <c r="B222" s="43"/>
      <c r="C222" s="18" t="str">
        <f aca="false">IFERROR(INDEX('Player Board'!$G$5:$G$304,MATCH(B222,'Player Board'!$A$5:$A$304,0)),"")</f>
        <v/>
      </c>
      <c r="D222" s="43"/>
      <c r="E222" s="44"/>
      <c r="F222" s="44"/>
      <c r="G222" s="19" t="str">
        <f aca="false">IFERROR(INDEX('Player Board'!$R$5:$R$304,MATCH(B222,'Player Board'!$A$5:$A$304,0)),"")</f>
        <v/>
      </c>
      <c r="H222" s="19" t="str">
        <f aca="false">IF(E222="","",G222-E222)</f>
        <v/>
      </c>
      <c r="I222" s="43"/>
      <c r="J222" s="18" t="str">
        <f aca="false">IF(B222="","",IF(A222=MAX($A$5:$A$304),"LAST — CLEAR INPUTS TO UNDO",IF(AND(D222&lt;&gt;"",E222&lt;&gt;""),"LOGGED","INCOMPLETE")))</f>
        <v/>
      </c>
      <c r="K222" s="18" t="str">
        <f aca="false">IFERROR(INDEX('Player Board'!$AA$5:$AA$304,MATCH(B222,'Player Board'!$A$5:$A$304,0)),"")</f>
        <v/>
      </c>
    </row>
    <row r="223" customFormat="false" ht="18" hidden="false" customHeight="true" outlineLevel="0" collapsed="false">
      <c r="A223" s="18" t="str">
        <f aca="false">IF(B223="","",ROW()-4)</f>
        <v/>
      </c>
      <c r="B223" s="43"/>
      <c r="C223" s="18" t="str">
        <f aca="false">IFERROR(INDEX('Player Board'!$G$5:$G$304,MATCH(B223,'Player Board'!$A$5:$A$304,0)),"")</f>
        <v/>
      </c>
      <c r="D223" s="43"/>
      <c r="E223" s="44"/>
      <c r="F223" s="44"/>
      <c r="G223" s="19" t="str">
        <f aca="false">IFERROR(INDEX('Player Board'!$R$5:$R$304,MATCH(B223,'Player Board'!$A$5:$A$304,0)),"")</f>
        <v/>
      </c>
      <c r="H223" s="19" t="str">
        <f aca="false">IF(E223="","",G223-E223)</f>
        <v/>
      </c>
      <c r="I223" s="43"/>
      <c r="J223" s="18" t="str">
        <f aca="false">IF(B223="","",IF(A223=MAX($A$5:$A$304),"LAST — CLEAR INPUTS TO UNDO",IF(AND(D223&lt;&gt;"",E223&lt;&gt;""),"LOGGED","INCOMPLETE")))</f>
        <v/>
      </c>
      <c r="K223" s="18" t="str">
        <f aca="false">IFERROR(INDEX('Player Board'!$AA$5:$AA$304,MATCH(B223,'Player Board'!$A$5:$A$304,0)),"")</f>
        <v/>
      </c>
    </row>
    <row r="224" customFormat="false" ht="18" hidden="false" customHeight="true" outlineLevel="0" collapsed="false">
      <c r="A224" s="18" t="str">
        <f aca="false">IF(B224="","",ROW()-4)</f>
        <v/>
      </c>
      <c r="B224" s="43"/>
      <c r="C224" s="18" t="str">
        <f aca="false">IFERROR(INDEX('Player Board'!$G$5:$G$304,MATCH(B224,'Player Board'!$A$5:$A$304,0)),"")</f>
        <v/>
      </c>
      <c r="D224" s="43"/>
      <c r="E224" s="44"/>
      <c r="F224" s="44"/>
      <c r="G224" s="19" t="str">
        <f aca="false">IFERROR(INDEX('Player Board'!$R$5:$R$304,MATCH(B224,'Player Board'!$A$5:$A$304,0)),"")</f>
        <v/>
      </c>
      <c r="H224" s="19" t="str">
        <f aca="false">IF(E224="","",G224-E224)</f>
        <v/>
      </c>
      <c r="I224" s="43"/>
      <c r="J224" s="18" t="str">
        <f aca="false">IF(B224="","",IF(A224=MAX($A$5:$A$304),"LAST — CLEAR INPUTS TO UNDO",IF(AND(D224&lt;&gt;"",E224&lt;&gt;""),"LOGGED","INCOMPLETE")))</f>
        <v/>
      </c>
      <c r="K224" s="18" t="str">
        <f aca="false">IFERROR(INDEX('Player Board'!$AA$5:$AA$304,MATCH(B224,'Player Board'!$A$5:$A$304,0)),"")</f>
        <v/>
      </c>
    </row>
    <row r="225" customFormat="false" ht="18" hidden="false" customHeight="true" outlineLevel="0" collapsed="false">
      <c r="A225" s="18" t="str">
        <f aca="false">IF(B225="","",ROW()-4)</f>
        <v/>
      </c>
      <c r="B225" s="43"/>
      <c r="C225" s="18" t="str">
        <f aca="false">IFERROR(INDEX('Player Board'!$G$5:$G$304,MATCH(B225,'Player Board'!$A$5:$A$304,0)),"")</f>
        <v/>
      </c>
      <c r="D225" s="43"/>
      <c r="E225" s="44"/>
      <c r="F225" s="44"/>
      <c r="G225" s="19" t="str">
        <f aca="false">IFERROR(INDEX('Player Board'!$R$5:$R$304,MATCH(B225,'Player Board'!$A$5:$A$304,0)),"")</f>
        <v/>
      </c>
      <c r="H225" s="19" t="str">
        <f aca="false">IF(E225="","",G225-E225)</f>
        <v/>
      </c>
      <c r="I225" s="43"/>
      <c r="J225" s="18" t="str">
        <f aca="false">IF(B225="","",IF(A225=MAX($A$5:$A$304),"LAST — CLEAR INPUTS TO UNDO",IF(AND(D225&lt;&gt;"",E225&lt;&gt;""),"LOGGED","INCOMPLETE")))</f>
        <v/>
      </c>
      <c r="K225" s="18" t="str">
        <f aca="false">IFERROR(INDEX('Player Board'!$AA$5:$AA$304,MATCH(B225,'Player Board'!$A$5:$A$304,0)),"")</f>
        <v/>
      </c>
    </row>
    <row r="226" customFormat="false" ht="18" hidden="false" customHeight="true" outlineLevel="0" collapsed="false">
      <c r="A226" s="18" t="str">
        <f aca="false">IF(B226="","",ROW()-4)</f>
        <v/>
      </c>
      <c r="B226" s="43"/>
      <c r="C226" s="18" t="str">
        <f aca="false">IFERROR(INDEX('Player Board'!$G$5:$G$304,MATCH(B226,'Player Board'!$A$5:$A$304,0)),"")</f>
        <v/>
      </c>
      <c r="D226" s="43"/>
      <c r="E226" s="44"/>
      <c r="F226" s="44"/>
      <c r="G226" s="19" t="str">
        <f aca="false">IFERROR(INDEX('Player Board'!$R$5:$R$304,MATCH(B226,'Player Board'!$A$5:$A$304,0)),"")</f>
        <v/>
      </c>
      <c r="H226" s="19" t="str">
        <f aca="false">IF(E226="","",G226-E226)</f>
        <v/>
      </c>
      <c r="I226" s="43"/>
      <c r="J226" s="18" t="str">
        <f aca="false">IF(B226="","",IF(A226=MAX($A$5:$A$304),"LAST — CLEAR INPUTS TO UNDO",IF(AND(D226&lt;&gt;"",E226&lt;&gt;""),"LOGGED","INCOMPLETE")))</f>
        <v/>
      </c>
      <c r="K226" s="18" t="str">
        <f aca="false">IFERROR(INDEX('Player Board'!$AA$5:$AA$304,MATCH(B226,'Player Board'!$A$5:$A$304,0)),"")</f>
        <v/>
      </c>
    </row>
    <row r="227" customFormat="false" ht="18" hidden="false" customHeight="true" outlineLevel="0" collapsed="false">
      <c r="A227" s="18" t="str">
        <f aca="false">IF(B227="","",ROW()-4)</f>
        <v/>
      </c>
      <c r="B227" s="43"/>
      <c r="C227" s="18" t="str">
        <f aca="false">IFERROR(INDEX('Player Board'!$G$5:$G$304,MATCH(B227,'Player Board'!$A$5:$A$304,0)),"")</f>
        <v/>
      </c>
      <c r="D227" s="43"/>
      <c r="E227" s="44"/>
      <c r="F227" s="44"/>
      <c r="G227" s="19" t="str">
        <f aca="false">IFERROR(INDEX('Player Board'!$R$5:$R$304,MATCH(B227,'Player Board'!$A$5:$A$304,0)),"")</f>
        <v/>
      </c>
      <c r="H227" s="19" t="str">
        <f aca="false">IF(E227="","",G227-E227)</f>
        <v/>
      </c>
      <c r="I227" s="43"/>
      <c r="J227" s="18" t="str">
        <f aca="false">IF(B227="","",IF(A227=MAX($A$5:$A$304),"LAST — CLEAR INPUTS TO UNDO",IF(AND(D227&lt;&gt;"",E227&lt;&gt;""),"LOGGED","INCOMPLETE")))</f>
        <v/>
      </c>
      <c r="K227" s="18" t="str">
        <f aca="false">IFERROR(INDEX('Player Board'!$AA$5:$AA$304,MATCH(B227,'Player Board'!$A$5:$A$304,0)),"")</f>
        <v/>
      </c>
    </row>
    <row r="228" customFormat="false" ht="18" hidden="false" customHeight="true" outlineLevel="0" collapsed="false">
      <c r="A228" s="18" t="str">
        <f aca="false">IF(B228="","",ROW()-4)</f>
        <v/>
      </c>
      <c r="B228" s="43"/>
      <c r="C228" s="18" t="str">
        <f aca="false">IFERROR(INDEX('Player Board'!$G$5:$G$304,MATCH(B228,'Player Board'!$A$5:$A$304,0)),"")</f>
        <v/>
      </c>
      <c r="D228" s="43"/>
      <c r="E228" s="44"/>
      <c r="F228" s="44"/>
      <c r="G228" s="19" t="str">
        <f aca="false">IFERROR(INDEX('Player Board'!$R$5:$R$304,MATCH(B228,'Player Board'!$A$5:$A$304,0)),"")</f>
        <v/>
      </c>
      <c r="H228" s="19" t="str">
        <f aca="false">IF(E228="","",G228-E228)</f>
        <v/>
      </c>
      <c r="I228" s="43"/>
      <c r="J228" s="18" t="str">
        <f aca="false">IF(B228="","",IF(A228=MAX($A$5:$A$304),"LAST — CLEAR INPUTS TO UNDO",IF(AND(D228&lt;&gt;"",E228&lt;&gt;""),"LOGGED","INCOMPLETE")))</f>
        <v/>
      </c>
      <c r="K228" s="18" t="str">
        <f aca="false">IFERROR(INDEX('Player Board'!$AA$5:$AA$304,MATCH(B228,'Player Board'!$A$5:$A$304,0)),"")</f>
        <v/>
      </c>
    </row>
    <row r="229" customFormat="false" ht="18" hidden="false" customHeight="true" outlineLevel="0" collapsed="false">
      <c r="A229" s="18" t="str">
        <f aca="false">IF(B229="","",ROW()-4)</f>
        <v/>
      </c>
      <c r="B229" s="43"/>
      <c r="C229" s="18" t="str">
        <f aca="false">IFERROR(INDEX('Player Board'!$G$5:$G$304,MATCH(B229,'Player Board'!$A$5:$A$304,0)),"")</f>
        <v/>
      </c>
      <c r="D229" s="43"/>
      <c r="E229" s="44"/>
      <c r="F229" s="44"/>
      <c r="G229" s="19" t="str">
        <f aca="false">IFERROR(INDEX('Player Board'!$R$5:$R$304,MATCH(B229,'Player Board'!$A$5:$A$304,0)),"")</f>
        <v/>
      </c>
      <c r="H229" s="19" t="str">
        <f aca="false">IF(E229="","",G229-E229)</f>
        <v/>
      </c>
      <c r="I229" s="43"/>
      <c r="J229" s="18" t="str">
        <f aca="false">IF(B229="","",IF(A229=MAX($A$5:$A$304),"LAST — CLEAR INPUTS TO UNDO",IF(AND(D229&lt;&gt;"",E229&lt;&gt;""),"LOGGED","INCOMPLETE")))</f>
        <v/>
      </c>
      <c r="K229" s="18" t="str">
        <f aca="false">IFERROR(INDEX('Player Board'!$AA$5:$AA$304,MATCH(B229,'Player Board'!$A$5:$A$304,0)),"")</f>
        <v/>
      </c>
    </row>
    <row r="230" customFormat="false" ht="18" hidden="false" customHeight="true" outlineLevel="0" collapsed="false">
      <c r="A230" s="18" t="str">
        <f aca="false">IF(B230="","",ROW()-4)</f>
        <v/>
      </c>
      <c r="B230" s="43"/>
      <c r="C230" s="18" t="str">
        <f aca="false">IFERROR(INDEX('Player Board'!$G$5:$G$304,MATCH(B230,'Player Board'!$A$5:$A$304,0)),"")</f>
        <v/>
      </c>
      <c r="D230" s="43"/>
      <c r="E230" s="44"/>
      <c r="F230" s="44"/>
      <c r="G230" s="19" t="str">
        <f aca="false">IFERROR(INDEX('Player Board'!$R$5:$R$304,MATCH(B230,'Player Board'!$A$5:$A$304,0)),"")</f>
        <v/>
      </c>
      <c r="H230" s="19" t="str">
        <f aca="false">IF(E230="","",G230-E230)</f>
        <v/>
      </c>
      <c r="I230" s="43"/>
      <c r="J230" s="18" t="str">
        <f aca="false">IF(B230="","",IF(A230=MAX($A$5:$A$304),"LAST — CLEAR INPUTS TO UNDO",IF(AND(D230&lt;&gt;"",E230&lt;&gt;""),"LOGGED","INCOMPLETE")))</f>
        <v/>
      </c>
      <c r="K230" s="18" t="str">
        <f aca="false">IFERROR(INDEX('Player Board'!$AA$5:$AA$304,MATCH(B230,'Player Board'!$A$5:$A$304,0)),"")</f>
        <v/>
      </c>
    </row>
    <row r="231" customFormat="false" ht="18" hidden="false" customHeight="true" outlineLevel="0" collapsed="false">
      <c r="A231" s="18" t="str">
        <f aca="false">IF(B231="","",ROW()-4)</f>
        <v/>
      </c>
      <c r="B231" s="43"/>
      <c r="C231" s="18" t="str">
        <f aca="false">IFERROR(INDEX('Player Board'!$G$5:$G$304,MATCH(B231,'Player Board'!$A$5:$A$304,0)),"")</f>
        <v/>
      </c>
      <c r="D231" s="43"/>
      <c r="E231" s="44"/>
      <c r="F231" s="44"/>
      <c r="G231" s="19" t="str">
        <f aca="false">IFERROR(INDEX('Player Board'!$R$5:$R$304,MATCH(B231,'Player Board'!$A$5:$A$304,0)),"")</f>
        <v/>
      </c>
      <c r="H231" s="19" t="str">
        <f aca="false">IF(E231="","",G231-E231)</f>
        <v/>
      </c>
      <c r="I231" s="43"/>
      <c r="J231" s="18" t="str">
        <f aca="false">IF(B231="","",IF(A231=MAX($A$5:$A$304),"LAST — CLEAR INPUTS TO UNDO",IF(AND(D231&lt;&gt;"",E231&lt;&gt;""),"LOGGED","INCOMPLETE")))</f>
        <v/>
      </c>
      <c r="K231" s="18" t="str">
        <f aca="false">IFERROR(INDEX('Player Board'!$AA$5:$AA$304,MATCH(B231,'Player Board'!$A$5:$A$304,0)),"")</f>
        <v/>
      </c>
    </row>
    <row r="232" customFormat="false" ht="18" hidden="false" customHeight="true" outlineLevel="0" collapsed="false">
      <c r="A232" s="18" t="str">
        <f aca="false">IF(B232="","",ROW()-4)</f>
        <v/>
      </c>
      <c r="B232" s="43"/>
      <c r="C232" s="18" t="str">
        <f aca="false">IFERROR(INDEX('Player Board'!$G$5:$G$304,MATCH(B232,'Player Board'!$A$5:$A$304,0)),"")</f>
        <v/>
      </c>
      <c r="D232" s="43"/>
      <c r="E232" s="44"/>
      <c r="F232" s="44"/>
      <c r="G232" s="19" t="str">
        <f aca="false">IFERROR(INDEX('Player Board'!$R$5:$R$304,MATCH(B232,'Player Board'!$A$5:$A$304,0)),"")</f>
        <v/>
      </c>
      <c r="H232" s="19" t="str">
        <f aca="false">IF(E232="","",G232-E232)</f>
        <v/>
      </c>
      <c r="I232" s="43"/>
      <c r="J232" s="18" t="str">
        <f aca="false">IF(B232="","",IF(A232=MAX($A$5:$A$304),"LAST — CLEAR INPUTS TO UNDO",IF(AND(D232&lt;&gt;"",E232&lt;&gt;""),"LOGGED","INCOMPLETE")))</f>
        <v/>
      </c>
      <c r="K232" s="18" t="str">
        <f aca="false">IFERROR(INDEX('Player Board'!$AA$5:$AA$304,MATCH(B232,'Player Board'!$A$5:$A$304,0)),"")</f>
        <v/>
      </c>
    </row>
    <row r="233" customFormat="false" ht="18" hidden="false" customHeight="true" outlineLevel="0" collapsed="false">
      <c r="A233" s="18" t="str">
        <f aca="false">IF(B233="","",ROW()-4)</f>
        <v/>
      </c>
      <c r="B233" s="43"/>
      <c r="C233" s="18" t="str">
        <f aca="false">IFERROR(INDEX('Player Board'!$G$5:$G$304,MATCH(B233,'Player Board'!$A$5:$A$304,0)),"")</f>
        <v/>
      </c>
      <c r="D233" s="43"/>
      <c r="E233" s="44"/>
      <c r="F233" s="44"/>
      <c r="G233" s="19" t="str">
        <f aca="false">IFERROR(INDEX('Player Board'!$R$5:$R$304,MATCH(B233,'Player Board'!$A$5:$A$304,0)),"")</f>
        <v/>
      </c>
      <c r="H233" s="19" t="str">
        <f aca="false">IF(E233="","",G233-E233)</f>
        <v/>
      </c>
      <c r="I233" s="43"/>
      <c r="J233" s="18" t="str">
        <f aca="false">IF(B233="","",IF(A233=MAX($A$5:$A$304),"LAST — CLEAR INPUTS TO UNDO",IF(AND(D233&lt;&gt;"",E233&lt;&gt;""),"LOGGED","INCOMPLETE")))</f>
        <v/>
      </c>
      <c r="K233" s="18" t="str">
        <f aca="false">IFERROR(INDEX('Player Board'!$AA$5:$AA$304,MATCH(B233,'Player Board'!$A$5:$A$304,0)),"")</f>
        <v/>
      </c>
    </row>
    <row r="234" customFormat="false" ht="18" hidden="false" customHeight="true" outlineLevel="0" collapsed="false">
      <c r="A234" s="18" t="str">
        <f aca="false">IF(B234="","",ROW()-4)</f>
        <v/>
      </c>
      <c r="B234" s="43"/>
      <c r="C234" s="18" t="str">
        <f aca="false">IFERROR(INDEX('Player Board'!$G$5:$G$304,MATCH(B234,'Player Board'!$A$5:$A$304,0)),"")</f>
        <v/>
      </c>
      <c r="D234" s="43"/>
      <c r="E234" s="44"/>
      <c r="F234" s="44"/>
      <c r="G234" s="19" t="str">
        <f aca="false">IFERROR(INDEX('Player Board'!$R$5:$R$304,MATCH(B234,'Player Board'!$A$5:$A$304,0)),"")</f>
        <v/>
      </c>
      <c r="H234" s="19" t="str">
        <f aca="false">IF(E234="","",G234-E234)</f>
        <v/>
      </c>
      <c r="I234" s="43"/>
      <c r="J234" s="18" t="str">
        <f aca="false">IF(B234="","",IF(A234=MAX($A$5:$A$304),"LAST — CLEAR INPUTS TO UNDO",IF(AND(D234&lt;&gt;"",E234&lt;&gt;""),"LOGGED","INCOMPLETE")))</f>
        <v/>
      </c>
      <c r="K234" s="18" t="str">
        <f aca="false">IFERROR(INDEX('Player Board'!$AA$5:$AA$304,MATCH(B234,'Player Board'!$A$5:$A$304,0)),"")</f>
        <v/>
      </c>
    </row>
    <row r="235" customFormat="false" ht="18" hidden="false" customHeight="true" outlineLevel="0" collapsed="false">
      <c r="A235" s="18" t="str">
        <f aca="false">IF(B235="","",ROW()-4)</f>
        <v/>
      </c>
      <c r="B235" s="43"/>
      <c r="C235" s="18" t="str">
        <f aca="false">IFERROR(INDEX('Player Board'!$G$5:$G$304,MATCH(B235,'Player Board'!$A$5:$A$304,0)),"")</f>
        <v/>
      </c>
      <c r="D235" s="43"/>
      <c r="E235" s="44"/>
      <c r="F235" s="44"/>
      <c r="G235" s="19" t="str">
        <f aca="false">IFERROR(INDEX('Player Board'!$R$5:$R$304,MATCH(B235,'Player Board'!$A$5:$A$304,0)),"")</f>
        <v/>
      </c>
      <c r="H235" s="19" t="str">
        <f aca="false">IF(E235="","",G235-E235)</f>
        <v/>
      </c>
      <c r="I235" s="43"/>
      <c r="J235" s="18" t="str">
        <f aca="false">IF(B235="","",IF(A235=MAX($A$5:$A$304),"LAST — CLEAR INPUTS TO UNDO",IF(AND(D235&lt;&gt;"",E235&lt;&gt;""),"LOGGED","INCOMPLETE")))</f>
        <v/>
      </c>
      <c r="K235" s="18" t="str">
        <f aca="false">IFERROR(INDEX('Player Board'!$AA$5:$AA$304,MATCH(B235,'Player Board'!$A$5:$A$304,0)),"")</f>
        <v/>
      </c>
    </row>
    <row r="236" customFormat="false" ht="18" hidden="false" customHeight="true" outlineLevel="0" collapsed="false">
      <c r="A236" s="18" t="str">
        <f aca="false">IF(B236="","",ROW()-4)</f>
        <v/>
      </c>
      <c r="B236" s="43"/>
      <c r="C236" s="18" t="str">
        <f aca="false">IFERROR(INDEX('Player Board'!$G$5:$G$304,MATCH(B236,'Player Board'!$A$5:$A$304,0)),"")</f>
        <v/>
      </c>
      <c r="D236" s="43"/>
      <c r="E236" s="44"/>
      <c r="F236" s="44"/>
      <c r="G236" s="19" t="str">
        <f aca="false">IFERROR(INDEX('Player Board'!$R$5:$R$304,MATCH(B236,'Player Board'!$A$5:$A$304,0)),"")</f>
        <v/>
      </c>
      <c r="H236" s="19" t="str">
        <f aca="false">IF(E236="","",G236-E236)</f>
        <v/>
      </c>
      <c r="I236" s="43"/>
      <c r="J236" s="18" t="str">
        <f aca="false">IF(B236="","",IF(A236=MAX($A$5:$A$304),"LAST — CLEAR INPUTS TO UNDO",IF(AND(D236&lt;&gt;"",E236&lt;&gt;""),"LOGGED","INCOMPLETE")))</f>
        <v/>
      </c>
      <c r="K236" s="18" t="str">
        <f aca="false">IFERROR(INDEX('Player Board'!$AA$5:$AA$304,MATCH(B236,'Player Board'!$A$5:$A$304,0)),"")</f>
        <v/>
      </c>
    </row>
    <row r="237" customFormat="false" ht="18" hidden="false" customHeight="true" outlineLevel="0" collapsed="false">
      <c r="A237" s="18" t="str">
        <f aca="false">IF(B237="","",ROW()-4)</f>
        <v/>
      </c>
      <c r="B237" s="43"/>
      <c r="C237" s="18" t="str">
        <f aca="false">IFERROR(INDEX('Player Board'!$G$5:$G$304,MATCH(B237,'Player Board'!$A$5:$A$304,0)),"")</f>
        <v/>
      </c>
      <c r="D237" s="43"/>
      <c r="E237" s="44"/>
      <c r="F237" s="44"/>
      <c r="G237" s="19" t="str">
        <f aca="false">IFERROR(INDEX('Player Board'!$R$5:$R$304,MATCH(B237,'Player Board'!$A$5:$A$304,0)),"")</f>
        <v/>
      </c>
      <c r="H237" s="19" t="str">
        <f aca="false">IF(E237="","",G237-E237)</f>
        <v/>
      </c>
      <c r="I237" s="43"/>
      <c r="J237" s="18" t="str">
        <f aca="false">IF(B237="","",IF(A237=MAX($A$5:$A$304),"LAST — CLEAR INPUTS TO UNDO",IF(AND(D237&lt;&gt;"",E237&lt;&gt;""),"LOGGED","INCOMPLETE")))</f>
        <v/>
      </c>
      <c r="K237" s="18" t="str">
        <f aca="false">IFERROR(INDEX('Player Board'!$AA$5:$AA$304,MATCH(B237,'Player Board'!$A$5:$A$304,0)),"")</f>
        <v/>
      </c>
    </row>
    <row r="238" customFormat="false" ht="18" hidden="false" customHeight="true" outlineLevel="0" collapsed="false">
      <c r="A238" s="18" t="str">
        <f aca="false">IF(B238="","",ROW()-4)</f>
        <v/>
      </c>
      <c r="B238" s="43"/>
      <c r="C238" s="18" t="str">
        <f aca="false">IFERROR(INDEX('Player Board'!$G$5:$G$304,MATCH(B238,'Player Board'!$A$5:$A$304,0)),"")</f>
        <v/>
      </c>
      <c r="D238" s="43"/>
      <c r="E238" s="44"/>
      <c r="F238" s="44"/>
      <c r="G238" s="19" t="str">
        <f aca="false">IFERROR(INDEX('Player Board'!$R$5:$R$304,MATCH(B238,'Player Board'!$A$5:$A$304,0)),"")</f>
        <v/>
      </c>
      <c r="H238" s="19" t="str">
        <f aca="false">IF(E238="","",G238-E238)</f>
        <v/>
      </c>
      <c r="I238" s="43"/>
      <c r="J238" s="18" t="str">
        <f aca="false">IF(B238="","",IF(A238=MAX($A$5:$A$304),"LAST — CLEAR INPUTS TO UNDO",IF(AND(D238&lt;&gt;"",E238&lt;&gt;""),"LOGGED","INCOMPLETE")))</f>
        <v/>
      </c>
      <c r="K238" s="18" t="str">
        <f aca="false">IFERROR(INDEX('Player Board'!$AA$5:$AA$304,MATCH(B238,'Player Board'!$A$5:$A$304,0)),"")</f>
        <v/>
      </c>
    </row>
    <row r="239" customFormat="false" ht="18" hidden="false" customHeight="true" outlineLevel="0" collapsed="false">
      <c r="A239" s="18" t="str">
        <f aca="false">IF(B239="","",ROW()-4)</f>
        <v/>
      </c>
      <c r="B239" s="43"/>
      <c r="C239" s="18" t="str">
        <f aca="false">IFERROR(INDEX('Player Board'!$G$5:$G$304,MATCH(B239,'Player Board'!$A$5:$A$304,0)),"")</f>
        <v/>
      </c>
      <c r="D239" s="43"/>
      <c r="E239" s="44"/>
      <c r="F239" s="44"/>
      <c r="G239" s="19" t="str">
        <f aca="false">IFERROR(INDEX('Player Board'!$R$5:$R$304,MATCH(B239,'Player Board'!$A$5:$A$304,0)),"")</f>
        <v/>
      </c>
      <c r="H239" s="19" t="str">
        <f aca="false">IF(E239="","",G239-E239)</f>
        <v/>
      </c>
      <c r="I239" s="43"/>
      <c r="J239" s="18" t="str">
        <f aca="false">IF(B239="","",IF(A239=MAX($A$5:$A$304),"LAST — CLEAR INPUTS TO UNDO",IF(AND(D239&lt;&gt;"",E239&lt;&gt;""),"LOGGED","INCOMPLETE")))</f>
        <v/>
      </c>
      <c r="K239" s="18" t="str">
        <f aca="false">IFERROR(INDEX('Player Board'!$AA$5:$AA$304,MATCH(B239,'Player Board'!$A$5:$A$304,0)),"")</f>
        <v/>
      </c>
    </row>
    <row r="240" customFormat="false" ht="18" hidden="false" customHeight="true" outlineLevel="0" collapsed="false">
      <c r="A240" s="18" t="str">
        <f aca="false">IF(B240="","",ROW()-4)</f>
        <v/>
      </c>
      <c r="B240" s="43"/>
      <c r="C240" s="18" t="str">
        <f aca="false">IFERROR(INDEX('Player Board'!$G$5:$G$304,MATCH(B240,'Player Board'!$A$5:$A$304,0)),"")</f>
        <v/>
      </c>
      <c r="D240" s="43"/>
      <c r="E240" s="44"/>
      <c r="F240" s="44"/>
      <c r="G240" s="19" t="str">
        <f aca="false">IFERROR(INDEX('Player Board'!$R$5:$R$304,MATCH(B240,'Player Board'!$A$5:$A$304,0)),"")</f>
        <v/>
      </c>
      <c r="H240" s="19" t="str">
        <f aca="false">IF(E240="","",G240-E240)</f>
        <v/>
      </c>
      <c r="I240" s="43"/>
      <c r="J240" s="18" t="str">
        <f aca="false">IF(B240="","",IF(A240=MAX($A$5:$A$304),"LAST — CLEAR INPUTS TO UNDO",IF(AND(D240&lt;&gt;"",E240&lt;&gt;""),"LOGGED","INCOMPLETE")))</f>
        <v/>
      </c>
      <c r="K240" s="18" t="str">
        <f aca="false">IFERROR(INDEX('Player Board'!$AA$5:$AA$304,MATCH(B240,'Player Board'!$A$5:$A$304,0)),"")</f>
        <v/>
      </c>
    </row>
    <row r="241" customFormat="false" ht="18" hidden="false" customHeight="true" outlineLevel="0" collapsed="false">
      <c r="A241" s="18" t="str">
        <f aca="false">IF(B241="","",ROW()-4)</f>
        <v/>
      </c>
      <c r="B241" s="43"/>
      <c r="C241" s="18" t="str">
        <f aca="false">IFERROR(INDEX('Player Board'!$G$5:$G$304,MATCH(B241,'Player Board'!$A$5:$A$304,0)),"")</f>
        <v/>
      </c>
      <c r="D241" s="43"/>
      <c r="E241" s="44"/>
      <c r="F241" s="44"/>
      <c r="G241" s="19" t="str">
        <f aca="false">IFERROR(INDEX('Player Board'!$R$5:$R$304,MATCH(B241,'Player Board'!$A$5:$A$304,0)),"")</f>
        <v/>
      </c>
      <c r="H241" s="19" t="str">
        <f aca="false">IF(E241="","",G241-E241)</f>
        <v/>
      </c>
      <c r="I241" s="43"/>
      <c r="J241" s="18" t="str">
        <f aca="false">IF(B241="","",IF(A241=MAX($A$5:$A$304),"LAST — CLEAR INPUTS TO UNDO",IF(AND(D241&lt;&gt;"",E241&lt;&gt;""),"LOGGED","INCOMPLETE")))</f>
        <v/>
      </c>
      <c r="K241" s="18" t="str">
        <f aca="false">IFERROR(INDEX('Player Board'!$AA$5:$AA$304,MATCH(B241,'Player Board'!$A$5:$A$304,0)),"")</f>
        <v/>
      </c>
    </row>
    <row r="242" customFormat="false" ht="18" hidden="false" customHeight="true" outlineLevel="0" collapsed="false">
      <c r="A242" s="18" t="str">
        <f aca="false">IF(B242="","",ROW()-4)</f>
        <v/>
      </c>
      <c r="B242" s="43"/>
      <c r="C242" s="18" t="str">
        <f aca="false">IFERROR(INDEX('Player Board'!$G$5:$G$304,MATCH(B242,'Player Board'!$A$5:$A$304,0)),"")</f>
        <v/>
      </c>
      <c r="D242" s="43"/>
      <c r="E242" s="44"/>
      <c r="F242" s="44"/>
      <c r="G242" s="19" t="str">
        <f aca="false">IFERROR(INDEX('Player Board'!$R$5:$R$304,MATCH(B242,'Player Board'!$A$5:$A$304,0)),"")</f>
        <v/>
      </c>
      <c r="H242" s="19" t="str">
        <f aca="false">IF(E242="","",G242-E242)</f>
        <v/>
      </c>
      <c r="I242" s="43"/>
      <c r="J242" s="18" t="str">
        <f aca="false">IF(B242="","",IF(A242=MAX($A$5:$A$304),"LAST — CLEAR INPUTS TO UNDO",IF(AND(D242&lt;&gt;"",E242&lt;&gt;""),"LOGGED","INCOMPLETE")))</f>
        <v/>
      </c>
      <c r="K242" s="18" t="str">
        <f aca="false">IFERROR(INDEX('Player Board'!$AA$5:$AA$304,MATCH(B242,'Player Board'!$A$5:$A$304,0)),"")</f>
        <v/>
      </c>
    </row>
    <row r="243" customFormat="false" ht="18" hidden="false" customHeight="true" outlineLevel="0" collapsed="false">
      <c r="A243" s="18" t="str">
        <f aca="false">IF(B243="","",ROW()-4)</f>
        <v/>
      </c>
      <c r="B243" s="43"/>
      <c r="C243" s="18" t="str">
        <f aca="false">IFERROR(INDEX('Player Board'!$G$5:$G$304,MATCH(B243,'Player Board'!$A$5:$A$304,0)),"")</f>
        <v/>
      </c>
      <c r="D243" s="43"/>
      <c r="E243" s="44"/>
      <c r="F243" s="44"/>
      <c r="G243" s="19" t="str">
        <f aca="false">IFERROR(INDEX('Player Board'!$R$5:$R$304,MATCH(B243,'Player Board'!$A$5:$A$304,0)),"")</f>
        <v/>
      </c>
      <c r="H243" s="19" t="str">
        <f aca="false">IF(E243="","",G243-E243)</f>
        <v/>
      </c>
      <c r="I243" s="43"/>
      <c r="J243" s="18" t="str">
        <f aca="false">IF(B243="","",IF(A243=MAX($A$5:$A$304),"LAST — CLEAR INPUTS TO UNDO",IF(AND(D243&lt;&gt;"",E243&lt;&gt;""),"LOGGED","INCOMPLETE")))</f>
        <v/>
      </c>
      <c r="K243" s="18" t="str">
        <f aca="false">IFERROR(INDEX('Player Board'!$AA$5:$AA$304,MATCH(B243,'Player Board'!$A$5:$A$304,0)),"")</f>
        <v/>
      </c>
    </row>
    <row r="244" customFormat="false" ht="18" hidden="false" customHeight="true" outlineLevel="0" collapsed="false">
      <c r="A244" s="18" t="str">
        <f aca="false">IF(B244="","",ROW()-4)</f>
        <v/>
      </c>
      <c r="B244" s="43"/>
      <c r="C244" s="18" t="str">
        <f aca="false">IFERROR(INDEX('Player Board'!$G$5:$G$304,MATCH(B244,'Player Board'!$A$5:$A$304,0)),"")</f>
        <v/>
      </c>
      <c r="D244" s="43"/>
      <c r="E244" s="44"/>
      <c r="F244" s="44"/>
      <c r="G244" s="19" t="str">
        <f aca="false">IFERROR(INDEX('Player Board'!$R$5:$R$304,MATCH(B244,'Player Board'!$A$5:$A$304,0)),"")</f>
        <v/>
      </c>
      <c r="H244" s="19" t="str">
        <f aca="false">IF(E244="","",G244-E244)</f>
        <v/>
      </c>
      <c r="I244" s="43"/>
      <c r="J244" s="18" t="str">
        <f aca="false">IF(B244="","",IF(A244=MAX($A$5:$A$304),"LAST — CLEAR INPUTS TO UNDO",IF(AND(D244&lt;&gt;"",E244&lt;&gt;""),"LOGGED","INCOMPLETE")))</f>
        <v/>
      </c>
      <c r="K244" s="18" t="str">
        <f aca="false">IFERROR(INDEX('Player Board'!$AA$5:$AA$304,MATCH(B244,'Player Board'!$A$5:$A$304,0)),"")</f>
        <v/>
      </c>
    </row>
    <row r="245" customFormat="false" ht="18" hidden="false" customHeight="true" outlineLevel="0" collapsed="false">
      <c r="A245" s="18" t="str">
        <f aca="false">IF(B245="","",ROW()-4)</f>
        <v/>
      </c>
      <c r="B245" s="43"/>
      <c r="C245" s="18" t="str">
        <f aca="false">IFERROR(INDEX('Player Board'!$G$5:$G$304,MATCH(B245,'Player Board'!$A$5:$A$304,0)),"")</f>
        <v/>
      </c>
      <c r="D245" s="43"/>
      <c r="E245" s="44"/>
      <c r="F245" s="44"/>
      <c r="G245" s="19" t="str">
        <f aca="false">IFERROR(INDEX('Player Board'!$R$5:$R$304,MATCH(B245,'Player Board'!$A$5:$A$304,0)),"")</f>
        <v/>
      </c>
      <c r="H245" s="19" t="str">
        <f aca="false">IF(E245="","",G245-E245)</f>
        <v/>
      </c>
      <c r="I245" s="43"/>
      <c r="J245" s="18" t="str">
        <f aca="false">IF(B245="","",IF(A245=MAX($A$5:$A$304),"LAST — CLEAR INPUTS TO UNDO",IF(AND(D245&lt;&gt;"",E245&lt;&gt;""),"LOGGED","INCOMPLETE")))</f>
        <v/>
      </c>
      <c r="K245" s="18" t="str">
        <f aca="false">IFERROR(INDEX('Player Board'!$AA$5:$AA$304,MATCH(B245,'Player Board'!$A$5:$A$304,0)),"")</f>
        <v/>
      </c>
    </row>
    <row r="246" customFormat="false" ht="18" hidden="false" customHeight="true" outlineLevel="0" collapsed="false">
      <c r="A246" s="18" t="str">
        <f aca="false">IF(B246="","",ROW()-4)</f>
        <v/>
      </c>
      <c r="B246" s="43"/>
      <c r="C246" s="18" t="str">
        <f aca="false">IFERROR(INDEX('Player Board'!$G$5:$G$304,MATCH(B246,'Player Board'!$A$5:$A$304,0)),"")</f>
        <v/>
      </c>
      <c r="D246" s="43"/>
      <c r="E246" s="44"/>
      <c r="F246" s="44"/>
      <c r="G246" s="19" t="str">
        <f aca="false">IFERROR(INDEX('Player Board'!$R$5:$R$304,MATCH(B246,'Player Board'!$A$5:$A$304,0)),"")</f>
        <v/>
      </c>
      <c r="H246" s="19" t="str">
        <f aca="false">IF(E246="","",G246-E246)</f>
        <v/>
      </c>
      <c r="I246" s="43"/>
      <c r="J246" s="18" t="str">
        <f aca="false">IF(B246="","",IF(A246=MAX($A$5:$A$304),"LAST — CLEAR INPUTS TO UNDO",IF(AND(D246&lt;&gt;"",E246&lt;&gt;""),"LOGGED","INCOMPLETE")))</f>
        <v/>
      </c>
      <c r="K246" s="18" t="str">
        <f aca="false">IFERROR(INDEX('Player Board'!$AA$5:$AA$304,MATCH(B246,'Player Board'!$A$5:$A$304,0)),"")</f>
        <v/>
      </c>
    </row>
    <row r="247" customFormat="false" ht="18" hidden="false" customHeight="true" outlineLevel="0" collapsed="false">
      <c r="A247" s="18" t="str">
        <f aca="false">IF(B247="","",ROW()-4)</f>
        <v/>
      </c>
      <c r="B247" s="43"/>
      <c r="C247" s="18" t="str">
        <f aca="false">IFERROR(INDEX('Player Board'!$G$5:$G$304,MATCH(B247,'Player Board'!$A$5:$A$304,0)),"")</f>
        <v/>
      </c>
      <c r="D247" s="43"/>
      <c r="E247" s="44"/>
      <c r="F247" s="44"/>
      <c r="G247" s="19" t="str">
        <f aca="false">IFERROR(INDEX('Player Board'!$R$5:$R$304,MATCH(B247,'Player Board'!$A$5:$A$304,0)),"")</f>
        <v/>
      </c>
      <c r="H247" s="19" t="str">
        <f aca="false">IF(E247="","",G247-E247)</f>
        <v/>
      </c>
      <c r="I247" s="43"/>
      <c r="J247" s="18" t="str">
        <f aca="false">IF(B247="","",IF(A247=MAX($A$5:$A$304),"LAST — CLEAR INPUTS TO UNDO",IF(AND(D247&lt;&gt;"",E247&lt;&gt;""),"LOGGED","INCOMPLETE")))</f>
        <v/>
      </c>
      <c r="K247" s="18" t="str">
        <f aca="false">IFERROR(INDEX('Player Board'!$AA$5:$AA$304,MATCH(B247,'Player Board'!$A$5:$A$304,0)),"")</f>
        <v/>
      </c>
    </row>
    <row r="248" customFormat="false" ht="18" hidden="false" customHeight="true" outlineLevel="0" collapsed="false">
      <c r="A248" s="18" t="str">
        <f aca="false">IF(B248="","",ROW()-4)</f>
        <v/>
      </c>
      <c r="B248" s="43"/>
      <c r="C248" s="18" t="str">
        <f aca="false">IFERROR(INDEX('Player Board'!$G$5:$G$304,MATCH(B248,'Player Board'!$A$5:$A$304,0)),"")</f>
        <v/>
      </c>
      <c r="D248" s="43"/>
      <c r="E248" s="44"/>
      <c r="F248" s="44"/>
      <c r="G248" s="19" t="str">
        <f aca="false">IFERROR(INDEX('Player Board'!$R$5:$R$304,MATCH(B248,'Player Board'!$A$5:$A$304,0)),"")</f>
        <v/>
      </c>
      <c r="H248" s="19" t="str">
        <f aca="false">IF(E248="","",G248-E248)</f>
        <v/>
      </c>
      <c r="I248" s="43"/>
      <c r="J248" s="18" t="str">
        <f aca="false">IF(B248="","",IF(A248=MAX($A$5:$A$304),"LAST — CLEAR INPUTS TO UNDO",IF(AND(D248&lt;&gt;"",E248&lt;&gt;""),"LOGGED","INCOMPLETE")))</f>
        <v/>
      </c>
      <c r="K248" s="18" t="str">
        <f aca="false">IFERROR(INDEX('Player Board'!$AA$5:$AA$304,MATCH(B248,'Player Board'!$A$5:$A$304,0)),"")</f>
        <v/>
      </c>
    </row>
    <row r="249" customFormat="false" ht="18" hidden="false" customHeight="true" outlineLevel="0" collapsed="false">
      <c r="A249" s="18" t="str">
        <f aca="false">IF(B249="","",ROW()-4)</f>
        <v/>
      </c>
      <c r="B249" s="43"/>
      <c r="C249" s="18" t="str">
        <f aca="false">IFERROR(INDEX('Player Board'!$G$5:$G$304,MATCH(B249,'Player Board'!$A$5:$A$304,0)),"")</f>
        <v/>
      </c>
      <c r="D249" s="43"/>
      <c r="E249" s="44"/>
      <c r="F249" s="44"/>
      <c r="G249" s="19" t="str">
        <f aca="false">IFERROR(INDEX('Player Board'!$R$5:$R$304,MATCH(B249,'Player Board'!$A$5:$A$304,0)),"")</f>
        <v/>
      </c>
      <c r="H249" s="19" t="str">
        <f aca="false">IF(E249="","",G249-E249)</f>
        <v/>
      </c>
      <c r="I249" s="43"/>
      <c r="J249" s="18" t="str">
        <f aca="false">IF(B249="","",IF(A249=MAX($A$5:$A$304),"LAST — CLEAR INPUTS TO UNDO",IF(AND(D249&lt;&gt;"",E249&lt;&gt;""),"LOGGED","INCOMPLETE")))</f>
        <v/>
      </c>
      <c r="K249" s="18" t="str">
        <f aca="false">IFERROR(INDEX('Player Board'!$AA$5:$AA$304,MATCH(B249,'Player Board'!$A$5:$A$304,0)),"")</f>
        <v/>
      </c>
    </row>
    <row r="250" customFormat="false" ht="18" hidden="false" customHeight="true" outlineLevel="0" collapsed="false">
      <c r="A250" s="18" t="str">
        <f aca="false">IF(B250="","",ROW()-4)</f>
        <v/>
      </c>
      <c r="B250" s="43"/>
      <c r="C250" s="18" t="str">
        <f aca="false">IFERROR(INDEX('Player Board'!$G$5:$G$304,MATCH(B250,'Player Board'!$A$5:$A$304,0)),"")</f>
        <v/>
      </c>
      <c r="D250" s="43"/>
      <c r="E250" s="44"/>
      <c r="F250" s="44"/>
      <c r="G250" s="19" t="str">
        <f aca="false">IFERROR(INDEX('Player Board'!$R$5:$R$304,MATCH(B250,'Player Board'!$A$5:$A$304,0)),"")</f>
        <v/>
      </c>
      <c r="H250" s="19" t="str">
        <f aca="false">IF(E250="","",G250-E250)</f>
        <v/>
      </c>
      <c r="I250" s="43"/>
      <c r="J250" s="18" t="str">
        <f aca="false">IF(B250="","",IF(A250=MAX($A$5:$A$304),"LAST — CLEAR INPUTS TO UNDO",IF(AND(D250&lt;&gt;"",E250&lt;&gt;""),"LOGGED","INCOMPLETE")))</f>
        <v/>
      </c>
      <c r="K250" s="18" t="str">
        <f aca="false">IFERROR(INDEX('Player Board'!$AA$5:$AA$304,MATCH(B250,'Player Board'!$A$5:$A$304,0)),"")</f>
        <v/>
      </c>
    </row>
    <row r="251" customFormat="false" ht="18" hidden="false" customHeight="true" outlineLevel="0" collapsed="false">
      <c r="A251" s="18" t="str">
        <f aca="false">IF(B251="","",ROW()-4)</f>
        <v/>
      </c>
      <c r="B251" s="43"/>
      <c r="C251" s="18" t="str">
        <f aca="false">IFERROR(INDEX('Player Board'!$G$5:$G$304,MATCH(B251,'Player Board'!$A$5:$A$304,0)),"")</f>
        <v/>
      </c>
      <c r="D251" s="43"/>
      <c r="E251" s="44"/>
      <c r="F251" s="44"/>
      <c r="G251" s="19" t="str">
        <f aca="false">IFERROR(INDEX('Player Board'!$R$5:$R$304,MATCH(B251,'Player Board'!$A$5:$A$304,0)),"")</f>
        <v/>
      </c>
      <c r="H251" s="19" t="str">
        <f aca="false">IF(E251="","",G251-E251)</f>
        <v/>
      </c>
      <c r="I251" s="43"/>
      <c r="J251" s="18" t="str">
        <f aca="false">IF(B251="","",IF(A251=MAX($A$5:$A$304),"LAST — CLEAR INPUTS TO UNDO",IF(AND(D251&lt;&gt;"",E251&lt;&gt;""),"LOGGED","INCOMPLETE")))</f>
        <v/>
      </c>
      <c r="K251" s="18" t="str">
        <f aca="false">IFERROR(INDEX('Player Board'!$AA$5:$AA$304,MATCH(B251,'Player Board'!$A$5:$A$304,0)),"")</f>
        <v/>
      </c>
    </row>
    <row r="252" customFormat="false" ht="18" hidden="false" customHeight="true" outlineLevel="0" collapsed="false">
      <c r="A252" s="18" t="str">
        <f aca="false">IF(B252="","",ROW()-4)</f>
        <v/>
      </c>
      <c r="B252" s="43"/>
      <c r="C252" s="18" t="str">
        <f aca="false">IFERROR(INDEX('Player Board'!$G$5:$G$304,MATCH(B252,'Player Board'!$A$5:$A$304,0)),"")</f>
        <v/>
      </c>
      <c r="D252" s="43"/>
      <c r="E252" s="44"/>
      <c r="F252" s="44"/>
      <c r="G252" s="19" t="str">
        <f aca="false">IFERROR(INDEX('Player Board'!$R$5:$R$304,MATCH(B252,'Player Board'!$A$5:$A$304,0)),"")</f>
        <v/>
      </c>
      <c r="H252" s="19" t="str">
        <f aca="false">IF(E252="","",G252-E252)</f>
        <v/>
      </c>
      <c r="I252" s="43"/>
      <c r="J252" s="18" t="str">
        <f aca="false">IF(B252="","",IF(A252=MAX($A$5:$A$304),"LAST — CLEAR INPUTS TO UNDO",IF(AND(D252&lt;&gt;"",E252&lt;&gt;""),"LOGGED","INCOMPLETE")))</f>
        <v/>
      </c>
      <c r="K252" s="18" t="str">
        <f aca="false">IFERROR(INDEX('Player Board'!$AA$5:$AA$304,MATCH(B252,'Player Board'!$A$5:$A$304,0)),"")</f>
        <v/>
      </c>
    </row>
    <row r="253" customFormat="false" ht="18" hidden="false" customHeight="true" outlineLevel="0" collapsed="false">
      <c r="A253" s="18" t="str">
        <f aca="false">IF(B253="","",ROW()-4)</f>
        <v/>
      </c>
      <c r="B253" s="43"/>
      <c r="C253" s="18" t="str">
        <f aca="false">IFERROR(INDEX('Player Board'!$G$5:$G$304,MATCH(B253,'Player Board'!$A$5:$A$304,0)),"")</f>
        <v/>
      </c>
      <c r="D253" s="43"/>
      <c r="E253" s="44"/>
      <c r="F253" s="44"/>
      <c r="G253" s="19" t="str">
        <f aca="false">IFERROR(INDEX('Player Board'!$R$5:$R$304,MATCH(B253,'Player Board'!$A$5:$A$304,0)),"")</f>
        <v/>
      </c>
      <c r="H253" s="19" t="str">
        <f aca="false">IF(E253="","",G253-E253)</f>
        <v/>
      </c>
      <c r="I253" s="43"/>
      <c r="J253" s="18" t="str">
        <f aca="false">IF(B253="","",IF(A253=MAX($A$5:$A$304),"LAST — CLEAR INPUTS TO UNDO",IF(AND(D253&lt;&gt;"",E253&lt;&gt;""),"LOGGED","INCOMPLETE")))</f>
        <v/>
      </c>
      <c r="K253" s="18" t="str">
        <f aca="false">IFERROR(INDEX('Player Board'!$AA$5:$AA$304,MATCH(B253,'Player Board'!$A$5:$A$304,0)),"")</f>
        <v/>
      </c>
    </row>
    <row r="254" customFormat="false" ht="18" hidden="false" customHeight="true" outlineLevel="0" collapsed="false">
      <c r="A254" s="18" t="str">
        <f aca="false">IF(B254="","",ROW()-4)</f>
        <v/>
      </c>
      <c r="B254" s="43"/>
      <c r="C254" s="18" t="str">
        <f aca="false">IFERROR(INDEX('Player Board'!$G$5:$G$304,MATCH(B254,'Player Board'!$A$5:$A$304,0)),"")</f>
        <v/>
      </c>
      <c r="D254" s="43"/>
      <c r="E254" s="44"/>
      <c r="F254" s="44"/>
      <c r="G254" s="19" t="str">
        <f aca="false">IFERROR(INDEX('Player Board'!$R$5:$R$304,MATCH(B254,'Player Board'!$A$5:$A$304,0)),"")</f>
        <v/>
      </c>
      <c r="H254" s="19" t="str">
        <f aca="false">IF(E254="","",G254-E254)</f>
        <v/>
      </c>
      <c r="I254" s="43"/>
      <c r="J254" s="18" t="str">
        <f aca="false">IF(B254="","",IF(A254=MAX($A$5:$A$304),"LAST — CLEAR INPUTS TO UNDO",IF(AND(D254&lt;&gt;"",E254&lt;&gt;""),"LOGGED","INCOMPLETE")))</f>
        <v/>
      </c>
      <c r="K254" s="18" t="str">
        <f aca="false">IFERROR(INDEX('Player Board'!$AA$5:$AA$304,MATCH(B254,'Player Board'!$A$5:$A$304,0)),"")</f>
        <v/>
      </c>
    </row>
    <row r="255" customFormat="false" ht="18" hidden="false" customHeight="true" outlineLevel="0" collapsed="false">
      <c r="A255" s="18" t="str">
        <f aca="false">IF(B255="","",ROW()-4)</f>
        <v/>
      </c>
      <c r="B255" s="43"/>
      <c r="C255" s="18" t="str">
        <f aca="false">IFERROR(INDEX('Player Board'!$G$5:$G$304,MATCH(B255,'Player Board'!$A$5:$A$304,0)),"")</f>
        <v/>
      </c>
      <c r="D255" s="43"/>
      <c r="E255" s="44"/>
      <c r="F255" s="44"/>
      <c r="G255" s="19" t="str">
        <f aca="false">IFERROR(INDEX('Player Board'!$R$5:$R$304,MATCH(B255,'Player Board'!$A$5:$A$304,0)),"")</f>
        <v/>
      </c>
      <c r="H255" s="19" t="str">
        <f aca="false">IF(E255="","",G255-E255)</f>
        <v/>
      </c>
      <c r="I255" s="43"/>
      <c r="J255" s="18" t="str">
        <f aca="false">IF(B255="","",IF(A255=MAX($A$5:$A$304),"LAST — CLEAR INPUTS TO UNDO",IF(AND(D255&lt;&gt;"",E255&lt;&gt;""),"LOGGED","INCOMPLETE")))</f>
        <v/>
      </c>
      <c r="K255" s="18" t="str">
        <f aca="false">IFERROR(INDEX('Player Board'!$AA$5:$AA$304,MATCH(B255,'Player Board'!$A$5:$A$304,0)),"")</f>
        <v/>
      </c>
    </row>
    <row r="256" customFormat="false" ht="18" hidden="false" customHeight="true" outlineLevel="0" collapsed="false">
      <c r="A256" s="18" t="str">
        <f aca="false">IF(B256="","",ROW()-4)</f>
        <v/>
      </c>
      <c r="B256" s="43"/>
      <c r="C256" s="18" t="str">
        <f aca="false">IFERROR(INDEX('Player Board'!$G$5:$G$304,MATCH(B256,'Player Board'!$A$5:$A$304,0)),"")</f>
        <v/>
      </c>
      <c r="D256" s="43"/>
      <c r="E256" s="44"/>
      <c r="F256" s="44"/>
      <c r="G256" s="19" t="str">
        <f aca="false">IFERROR(INDEX('Player Board'!$R$5:$R$304,MATCH(B256,'Player Board'!$A$5:$A$304,0)),"")</f>
        <v/>
      </c>
      <c r="H256" s="19" t="str">
        <f aca="false">IF(E256="","",G256-E256)</f>
        <v/>
      </c>
      <c r="I256" s="43"/>
      <c r="J256" s="18" t="str">
        <f aca="false">IF(B256="","",IF(A256=MAX($A$5:$A$304),"LAST — CLEAR INPUTS TO UNDO",IF(AND(D256&lt;&gt;"",E256&lt;&gt;""),"LOGGED","INCOMPLETE")))</f>
        <v/>
      </c>
      <c r="K256" s="18" t="str">
        <f aca="false">IFERROR(INDEX('Player Board'!$AA$5:$AA$304,MATCH(B256,'Player Board'!$A$5:$A$304,0)),"")</f>
        <v/>
      </c>
    </row>
    <row r="257" customFormat="false" ht="18" hidden="false" customHeight="true" outlineLevel="0" collapsed="false">
      <c r="A257" s="18" t="str">
        <f aca="false">IF(B257="","",ROW()-4)</f>
        <v/>
      </c>
      <c r="B257" s="43"/>
      <c r="C257" s="18" t="str">
        <f aca="false">IFERROR(INDEX('Player Board'!$G$5:$G$304,MATCH(B257,'Player Board'!$A$5:$A$304,0)),"")</f>
        <v/>
      </c>
      <c r="D257" s="43"/>
      <c r="E257" s="44"/>
      <c r="F257" s="44"/>
      <c r="G257" s="19" t="str">
        <f aca="false">IFERROR(INDEX('Player Board'!$R$5:$R$304,MATCH(B257,'Player Board'!$A$5:$A$304,0)),"")</f>
        <v/>
      </c>
      <c r="H257" s="19" t="str">
        <f aca="false">IF(E257="","",G257-E257)</f>
        <v/>
      </c>
      <c r="I257" s="43"/>
      <c r="J257" s="18" t="str">
        <f aca="false">IF(B257="","",IF(A257=MAX($A$5:$A$304),"LAST — CLEAR INPUTS TO UNDO",IF(AND(D257&lt;&gt;"",E257&lt;&gt;""),"LOGGED","INCOMPLETE")))</f>
        <v/>
      </c>
      <c r="K257" s="18" t="str">
        <f aca="false">IFERROR(INDEX('Player Board'!$AA$5:$AA$304,MATCH(B257,'Player Board'!$A$5:$A$304,0)),"")</f>
        <v/>
      </c>
    </row>
    <row r="258" customFormat="false" ht="18" hidden="false" customHeight="true" outlineLevel="0" collapsed="false">
      <c r="A258" s="18" t="str">
        <f aca="false">IF(B258="","",ROW()-4)</f>
        <v/>
      </c>
      <c r="B258" s="43"/>
      <c r="C258" s="18" t="str">
        <f aca="false">IFERROR(INDEX('Player Board'!$G$5:$G$304,MATCH(B258,'Player Board'!$A$5:$A$304,0)),"")</f>
        <v/>
      </c>
      <c r="D258" s="43"/>
      <c r="E258" s="44"/>
      <c r="F258" s="44"/>
      <c r="G258" s="19" t="str">
        <f aca="false">IFERROR(INDEX('Player Board'!$R$5:$R$304,MATCH(B258,'Player Board'!$A$5:$A$304,0)),"")</f>
        <v/>
      </c>
      <c r="H258" s="19" t="str">
        <f aca="false">IF(E258="","",G258-E258)</f>
        <v/>
      </c>
      <c r="I258" s="43"/>
      <c r="J258" s="18" t="str">
        <f aca="false">IF(B258="","",IF(A258=MAX($A$5:$A$304),"LAST — CLEAR INPUTS TO UNDO",IF(AND(D258&lt;&gt;"",E258&lt;&gt;""),"LOGGED","INCOMPLETE")))</f>
        <v/>
      </c>
      <c r="K258" s="18" t="str">
        <f aca="false">IFERROR(INDEX('Player Board'!$AA$5:$AA$304,MATCH(B258,'Player Board'!$A$5:$A$304,0)),"")</f>
        <v/>
      </c>
    </row>
    <row r="259" customFormat="false" ht="18" hidden="false" customHeight="true" outlineLevel="0" collapsed="false">
      <c r="A259" s="18" t="str">
        <f aca="false">IF(B259="","",ROW()-4)</f>
        <v/>
      </c>
      <c r="B259" s="43"/>
      <c r="C259" s="18" t="str">
        <f aca="false">IFERROR(INDEX('Player Board'!$G$5:$G$304,MATCH(B259,'Player Board'!$A$5:$A$304,0)),"")</f>
        <v/>
      </c>
      <c r="D259" s="43"/>
      <c r="E259" s="44"/>
      <c r="F259" s="44"/>
      <c r="G259" s="19" t="str">
        <f aca="false">IFERROR(INDEX('Player Board'!$R$5:$R$304,MATCH(B259,'Player Board'!$A$5:$A$304,0)),"")</f>
        <v/>
      </c>
      <c r="H259" s="19" t="str">
        <f aca="false">IF(E259="","",G259-E259)</f>
        <v/>
      </c>
      <c r="I259" s="43"/>
      <c r="J259" s="18" t="str">
        <f aca="false">IF(B259="","",IF(A259=MAX($A$5:$A$304),"LAST — CLEAR INPUTS TO UNDO",IF(AND(D259&lt;&gt;"",E259&lt;&gt;""),"LOGGED","INCOMPLETE")))</f>
        <v/>
      </c>
      <c r="K259" s="18" t="str">
        <f aca="false">IFERROR(INDEX('Player Board'!$AA$5:$AA$304,MATCH(B259,'Player Board'!$A$5:$A$304,0)),"")</f>
        <v/>
      </c>
    </row>
    <row r="260" customFormat="false" ht="18" hidden="false" customHeight="true" outlineLevel="0" collapsed="false">
      <c r="A260" s="18" t="str">
        <f aca="false">IF(B260="","",ROW()-4)</f>
        <v/>
      </c>
      <c r="B260" s="43"/>
      <c r="C260" s="18" t="str">
        <f aca="false">IFERROR(INDEX('Player Board'!$G$5:$G$304,MATCH(B260,'Player Board'!$A$5:$A$304,0)),"")</f>
        <v/>
      </c>
      <c r="D260" s="43"/>
      <c r="E260" s="44"/>
      <c r="F260" s="44"/>
      <c r="G260" s="19" t="str">
        <f aca="false">IFERROR(INDEX('Player Board'!$R$5:$R$304,MATCH(B260,'Player Board'!$A$5:$A$304,0)),"")</f>
        <v/>
      </c>
      <c r="H260" s="19" t="str">
        <f aca="false">IF(E260="","",G260-E260)</f>
        <v/>
      </c>
      <c r="I260" s="43"/>
      <c r="J260" s="18" t="str">
        <f aca="false">IF(B260="","",IF(A260=MAX($A$5:$A$304),"LAST — CLEAR INPUTS TO UNDO",IF(AND(D260&lt;&gt;"",E260&lt;&gt;""),"LOGGED","INCOMPLETE")))</f>
        <v/>
      </c>
      <c r="K260" s="18" t="str">
        <f aca="false">IFERROR(INDEX('Player Board'!$AA$5:$AA$304,MATCH(B260,'Player Board'!$A$5:$A$304,0)),"")</f>
        <v/>
      </c>
    </row>
    <row r="261" customFormat="false" ht="18" hidden="false" customHeight="true" outlineLevel="0" collapsed="false">
      <c r="A261" s="18" t="str">
        <f aca="false">IF(B261="","",ROW()-4)</f>
        <v/>
      </c>
      <c r="B261" s="43"/>
      <c r="C261" s="18" t="str">
        <f aca="false">IFERROR(INDEX('Player Board'!$G$5:$G$304,MATCH(B261,'Player Board'!$A$5:$A$304,0)),"")</f>
        <v/>
      </c>
      <c r="D261" s="43"/>
      <c r="E261" s="44"/>
      <c r="F261" s="44"/>
      <c r="G261" s="19" t="str">
        <f aca="false">IFERROR(INDEX('Player Board'!$R$5:$R$304,MATCH(B261,'Player Board'!$A$5:$A$304,0)),"")</f>
        <v/>
      </c>
      <c r="H261" s="19" t="str">
        <f aca="false">IF(E261="","",G261-E261)</f>
        <v/>
      </c>
      <c r="I261" s="43"/>
      <c r="J261" s="18" t="str">
        <f aca="false">IF(B261="","",IF(A261=MAX($A$5:$A$304),"LAST — CLEAR INPUTS TO UNDO",IF(AND(D261&lt;&gt;"",E261&lt;&gt;""),"LOGGED","INCOMPLETE")))</f>
        <v/>
      </c>
      <c r="K261" s="18" t="str">
        <f aca="false">IFERROR(INDEX('Player Board'!$AA$5:$AA$304,MATCH(B261,'Player Board'!$A$5:$A$304,0)),"")</f>
        <v/>
      </c>
    </row>
    <row r="262" customFormat="false" ht="18" hidden="false" customHeight="true" outlineLevel="0" collapsed="false">
      <c r="A262" s="18" t="str">
        <f aca="false">IF(B262="","",ROW()-4)</f>
        <v/>
      </c>
      <c r="B262" s="43"/>
      <c r="C262" s="18" t="str">
        <f aca="false">IFERROR(INDEX('Player Board'!$G$5:$G$304,MATCH(B262,'Player Board'!$A$5:$A$304,0)),"")</f>
        <v/>
      </c>
      <c r="D262" s="43"/>
      <c r="E262" s="44"/>
      <c r="F262" s="44"/>
      <c r="G262" s="19" t="str">
        <f aca="false">IFERROR(INDEX('Player Board'!$R$5:$R$304,MATCH(B262,'Player Board'!$A$5:$A$304,0)),"")</f>
        <v/>
      </c>
      <c r="H262" s="19" t="str">
        <f aca="false">IF(E262="","",G262-E262)</f>
        <v/>
      </c>
      <c r="I262" s="43"/>
      <c r="J262" s="18" t="str">
        <f aca="false">IF(B262="","",IF(A262=MAX($A$5:$A$304),"LAST — CLEAR INPUTS TO UNDO",IF(AND(D262&lt;&gt;"",E262&lt;&gt;""),"LOGGED","INCOMPLETE")))</f>
        <v/>
      </c>
      <c r="K262" s="18" t="str">
        <f aca="false">IFERROR(INDEX('Player Board'!$AA$5:$AA$304,MATCH(B262,'Player Board'!$A$5:$A$304,0)),"")</f>
        <v/>
      </c>
    </row>
    <row r="263" customFormat="false" ht="18" hidden="false" customHeight="true" outlineLevel="0" collapsed="false">
      <c r="A263" s="18" t="str">
        <f aca="false">IF(B263="","",ROW()-4)</f>
        <v/>
      </c>
      <c r="B263" s="43"/>
      <c r="C263" s="18" t="str">
        <f aca="false">IFERROR(INDEX('Player Board'!$G$5:$G$304,MATCH(B263,'Player Board'!$A$5:$A$304,0)),"")</f>
        <v/>
      </c>
      <c r="D263" s="43"/>
      <c r="E263" s="44"/>
      <c r="F263" s="44"/>
      <c r="G263" s="19" t="str">
        <f aca="false">IFERROR(INDEX('Player Board'!$R$5:$R$304,MATCH(B263,'Player Board'!$A$5:$A$304,0)),"")</f>
        <v/>
      </c>
      <c r="H263" s="19" t="str">
        <f aca="false">IF(E263="","",G263-E263)</f>
        <v/>
      </c>
      <c r="I263" s="43"/>
      <c r="J263" s="18" t="str">
        <f aca="false">IF(B263="","",IF(A263=MAX($A$5:$A$304),"LAST — CLEAR INPUTS TO UNDO",IF(AND(D263&lt;&gt;"",E263&lt;&gt;""),"LOGGED","INCOMPLETE")))</f>
        <v/>
      </c>
      <c r="K263" s="18" t="str">
        <f aca="false">IFERROR(INDEX('Player Board'!$AA$5:$AA$304,MATCH(B263,'Player Board'!$A$5:$A$304,0)),"")</f>
        <v/>
      </c>
    </row>
    <row r="264" customFormat="false" ht="18" hidden="false" customHeight="true" outlineLevel="0" collapsed="false">
      <c r="A264" s="18" t="str">
        <f aca="false">IF(B264="","",ROW()-4)</f>
        <v/>
      </c>
      <c r="B264" s="43"/>
      <c r="C264" s="18" t="str">
        <f aca="false">IFERROR(INDEX('Player Board'!$G$5:$G$304,MATCH(B264,'Player Board'!$A$5:$A$304,0)),"")</f>
        <v/>
      </c>
      <c r="D264" s="43"/>
      <c r="E264" s="44"/>
      <c r="F264" s="44"/>
      <c r="G264" s="19" t="str">
        <f aca="false">IFERROR(INDEX('Player Board'!$R$5:$R$304,MATCH(B264,'Player Board'!$A$5:$A$304,0)),"")</f>
        <v/>
      </c>
      <c r="H264" s="19" t="str">
        <f aca="false">IF(E264="","",G264-E264)</f>
        <v/>
      </c>
      <c r="I264" s="43"/>
      <c r="J264" s="18" t="str">
        <f aca="false">IF(B264="","",IF(A264=MAX($A$5:$A$304),"LAST — CLEAR INPUTS TO UNDO",IF(AND(D264&lt;&gt;"",E264&lt;&gt;""),"LOGGED","INCOMPLETE")))</f>
        <v/>
      </c>
      <c r="K264" s="18" t="str">
        <f aca="false">IFERROR(INDEX('Player Board'!$AA$5:$AA$304,MATCH(B264,'Player Board'!$A$5:$A$304,0)),"")</f>
        <v/>
      </c>
    </row>
    <row r="265" customFormat="false" ht="18" hidden="false" customHeight="true" outlineLevel="0" collapsed="false">
      <c r="A265" s="18" t="str">
        <f aca="false">IF(B265="","",ROW()-4)</f>
        <v/>
      </c>
      <c r="B265" s="43"/>
      <c r="C265" s="18" t="str">
        <f aca="false">IFERROR(INDEX('Player Board'!$G$5:$G$304,MATCH(B265,'Player Board'!$A$5:$A$304,0)),"")</f>
        <v/>
      </c>
      <c r="D265" s="43"/>
      <c r="E265" s="44"/>
      <c r="F265" s="44"/>
      <c r="G265" s="19" t="str">
        <f aca="false">IFERROR(INDEX('Player Board'!$R$5:$R$304,MATCH(B265,'Player Board'!$A$5:$A$304,0)),"")</f>
        <v/>
      </c>
      <c r="H265" s="19" t="str">
        <f aca="false">IF(E265="","",G265-E265)</f>
        <v/>
      </c>
      <c r="I265" s="43"/>
      <c r="J265" s="18" t="str">
        <f aca="false">IF(B265="","",IF(A265=MAX($A$5:$A$304),"LAST — CLEAR INPUTS TO UNDO",IF(AND(D265&lt;&gt;"",E265&lt;&gt;""),"LOGGED","INCOMPLETE")))</f>
        <v/>
      </c>
      <c r="K265" s="18" t="str">
        <f aca="false">IFERROR(INDEX('Player Board'!$AA$5:$AA$304,MATCH(B265,'Player Board'!$A$5:$A$304,0)),"")</f>
        <v/>
      </c>
    </row>
    <row r="266" customFormat="false" ht="18" hidden="false" customHeight="true" outlineLevel="0" collapsed="false">
      <c r="A266" s="18" t="str">
        <f aca="false">IF(B266="","",ROW()-4)</f>
        <v/>
      </c>
      <c r="B266" s="43"/>
      <c r="C266" s="18" t="str">
        <f aca="false">IFERROR(INDEX('Player Board'!$G$5:$G$304,MATCH(B266,'Player Board'!$A$5:$A$304,0)),"")</f>
        <v/>
      </c>
      <c r="D266" s="43"/>
      <c r="E266" s="44"/>
      <c r="F266" s="44"/>
      <c r="G266" s="19" t="str">
        <f aca="false">IFERROR(INDEX('Player Board'!$R$5:$R$304,MATCH(B266,'Player Board'!$A$5:$A$304,0)),"")</f>
        <v/>
      </c>
      <c r="H266" s="19" t="str">
        <f aca="false">IF(E266="","",G266-E266)</f>
        <v/>
      </c>
      <c r="I266" s="43"/>
      <c r="J266" s="18" t="str">
        <f aca="false">IF(B266="","",IF(A266=MAX($A$5:$A$304),"LAST — CLEAR INPUTS TO UNDO",IF(AND(D266&lt;&gt;"",E266&lt;&gt;""),"LOGGED","INCOMPLETE")))</f>
        <v/>
      </c>
      <c r="K266" s="18" t="str">
        <f aca="false">IFERROR(INDEX('Player Board'!$AA$5:$AA$304,MATCH(B266,'Player Board'!$A$5:$A$304,0)),"")</f>
        <v/>
      </c>
    </row>
    <row r="267" customFormat="false" ht="18" hidden="false" customHeight="true" outlineLevel="0" collapsed="false">
      <c r="A267" s="18" t="str">
        <f aca="false">IF(B267="","",ROW()-4)</f>
        <v/>
      </c>
      <c r="B267" s="43"/>
      <c r="C267" s="18" t="str">
        <f aca="false">IFERROR(INDEX('Player Board'!$G$5:$G$304,MATCH(B267,'Player Board'!$A$5:$A$304,0)),"")</f>
        <v/>
      </c>
      <c r="D267" s="43"/>
      <c r="E267" s="44"/>
      <c r="F267" s="44"/>
      <c r="G267" s="19" t="str">
        <f aca="false">IFERROR(INDEX('Player Board'!$R$5:$R$304,MATCH(B267,'Player Board'!$A$5:$A$304,0)),"")</f>
        <v/>
      </c>
      <c r="H267" s="19" t="str">
        <f aca="false">IF(E267="","",G267-E267)</f>
        <v/>
      </c>
      <c r="I267" s="43"/>
      <c r="J267" s="18" t="str">
        <f aca="false">IF(B267="","",IF(A267=MAX($A$5:$A$304),"LAST — CLEAR INPUTS TO UNDO",IF(AND(D267&lt;&gt;"",E267&lt;&gt;""),"LOGGED","INCOMPLETE")))</f>
        <v/>
      </c>
      <c r="K267" s="18" t="str">
        <f aca="false">IFERROR(INDEX('Player Board'!$AA$5:$AA$304,MATCH(B267,'Player Board'!$A$5:$A$304,0)),"")</f>
        <v/>
      </c>
    </row>
    <row r="268" customFormat="false" ht="18" hidden="false" customHeight="true" outlineLevel="0" collapsed="false">
      <c r="A268" s="18" t="str">
        <f aca="false">IF(B268="","",ROW()-4)</f>
        <v/>
      </c>
      <c r="B268" s="43"/>
      <c r="C268" s="18" t="str">
        <f aca="false">IFERROR(INDEX('Player Board'!$G$5:$G$304,MATCH(B268,'Player Board'!$A$5:$A$304,0)),"")</f>
        <v/>
      </c>
      <c r="D268" s="43"/>
      <c r="E268" s="44"/>
      <c r="F268" s="44"/>
      <c r="G268" s="19" t="str">
        <f aca="false">IFERROR(INDEX('Player Board'!$R$5:$R$304,MATCH(B268,'Player Board'!$A$5:$A$304,0)),"")</f>
        <v/>
      </c>
      <c r="H268" s="19" t="str">
        <f aca="false">IF(E268="","",G268-E268)</f>
        <v/>
      </c>
      <c r="I268" s="43"/>
      <c r="J268" s="18" t="str">
        <f aca="false">IF(B268="","",IF(A268=MAX($A$5:$A$304),"LAST — CLEAR INPUTS TO UNDO",IF(AND(D268&lt;&gt;"",E268&lt;&gt;""),"LOGGED","INCOMPLETE")))</f>
        <v/>
      </c>
      <c r="K268" s="18" t="str">
        <f aca="false">IFERROR(INDEX('Player Board'!$AA$5:$AA$304,MATCH(B268,'Player Board'!$A$5:$A$304,0)),"")</f>
        <v/>
      </c>
    </row>
    <row r="269" customFormat="false" ht="18" hidden="false" customHeight="true" outlineLevel="0" collapsed="false">
      <c r="A269" s="18" t="str">
        <f aca="false">IF(B269="","",ROW()-4)</f>
        <v/>
      </c>
      <c r="B269" s="43"/>
      <c r="C269" s="18" t="str">
        <f aca="false">IFERROR(INDEX('Player Board'!$G$5:$G$304,MATCH(B269,'Player Board'!$A$5:$A$304,0)),"")</f>
        <v/>
      </c>
      <c r="D269" s="43"/>
      <c r="E269" s="44"/>
      <c r="F269" s="44"/>
      <c r="G269" s="19" t="str">
        <f aca="false">IFERROR(INDEX('Player Board'!$R$5:$R$304,MATCH(B269,'Player Board'!$A$5:$A$304,0)),"")</f>
        <v/>
      </c>
      <c r="H269" s="19" t="str">
        <f aca="false">IF(E269="","",G269-E269)</f>
        <v/>
      </c>
      <c r="I269" s="43"/>
      <c r="J269" s="18" t="str">
        <f aca="false">IF(B269="","",IF(A269=MAX($A$5:$A$304),"LAST — CLEAR INPUTS TO UNDO",IF(AND(D269&lt;&gt;"",E269&lt;&gt;""),"LOGGED","INCOMPLETE")))</f>
        <v/>
      </c>
      <c r="K269" s="18" t="str">
        <f aca="false">IFERROR(INDEX('Player Board'!$AA$5:$AA$304,MATCH(B269,'Player Board'!$A$5:$A$304,0)),"")</f>
        <v/>
      </c>
    </row>
    <row r="270" customFormat="false" ht="18" hidden="false" customHeight="true" outlineLevel="0" collapsed="false">
      <c r="A270" s="18" t="str">
        <f aca="false">IF(B270="","",ROW()-4)</f>
        <v/>
      </c>
      <c r="B270" s="43"/>
      <c r="C270" s="18" t="str">
        <f aca="false">IFERROR(INDEX('Player Board'!$G$5:$G$304,MATCH(B270,'Player Board'!$A$5:$A$304,0)),"")</f>
        <v/>
      </c>
      <c r="D270" s="43"/>
      <c r="E270" s="44"/>
      <c r="F270" s="44"/>
      <c r="G270" s="19" t="str">
        <f aca="false">IFERROR(INDEX('Player Board'!$R$5:$R$304,MATCH(B270,'Player Board'!$A$5:$A$304,0)),"")</f>
        <v/>
      </c>
      <c r="H270" s="19" t="str">
        <f aca="false">IF(E270="","",G270-E270)</f>
        <v/>
      </c>
      <c r="I270" s="43"/>
      <c r="J270" s="18" t="str">
        <f aca="false">IF(B270="","",IF(A270=MAX($A$5:$A$304),"LAST — CLEAR INPUTS TO UNDO",IF(AND(D270&lt;&gt;"",E270&lt;&gt;""),"LOGGED","INCOMPLETE")))</f>
        <v/>
      </c>
      <c r="K270" s="18" t="str">
        <f aca="false">IFERROR(INDEX('Player Board'!$AA$5:$AA$304,MATCH(B270,'Player Board'!$A$5:$A$304,0)),"")</f>
        <v/>
      </c>
    </row>
    <row r="271" customFormat="false" ht="18" hidden="false" customHeight="true" outlineLevel="0" collapsed="false">
      <c r="A271" s="18" t="str">
        <f aca="false">IF(B271="","",ROW()-4)</f>
        <v/>
      </c>
      <c r="B271" s="43"/>
      <c r="C271" s="18" t="str">
        <f aca="false">IFERROR(INDEX('Player Board'!$G$5:$G$304,MATCH(B271,'Player Board'!$A$5:$A$304,0)),"")</f>
        <v/>
      </c>
      <c r="D271" s="43"/>
      <c r="E271" s="44"/>
      <c r="F271" s="44"/>
      <c r="G271" s="19" t="str">
        <f aca="false">IFERROR(INDEX('Player Board'!$R$5:$R$304,MATCH(B271,'Player Board'!$A$5:$A$304,0)),"")</f>
        <v/>
      </c>
      <c r="H271" s="19" t="str">
        <f aca="false">IF(E271="","",G271-E271)</f>
        <v/>
      </c>
      <c r="I271" s="43"/>
      <c r="J271" s="18" t="str">
        <f aca="false">IF(B271="","",IF(A271=MAX($A$5:$A$304),"LAST — CLEAR INPUTS TO UNDO",IF(AND(D271&lt;&gt;"",E271&lt;&gt;""),"LOGGED","INCOMPLETE")))</f>
        <v/>
      </c>
      <c r="K271" s="18" t="str">
        <f aca="false">IFERROR(INDEX('Player Board'!$AA$5:$AA$304,MATCH(B271,'Player Board'!$A$5:$A$304,0)),"")</f>
        <v/>
      </c>
    </row>
    <row r="272" customFormat="false" ht="18" hidden="false" customHeight="true" outlineLevel="0" collapsed="false">
      <c r="A272" s="18" t="str">
        <f aca="false">IF(B272="","",ROW()-4)</f>
        <v/>
      </c>
      <c r="B272" s="43"/>
      <c r="C272" s="18" t="str">
        <f aca="false">IFERROR(INDEX('Player Board'!$G$5:$G$304,MATCH(B272,'Player Board'!$A$5:$A$304,0)),"")</f>
        <v/>
      </c>
      <c r="D272" s="43"/>
      <c r="E272" s="44"/>
      <c r="F272" s="44"/>
      <c r="G272" s="19" t="str">
        <f aca="false">IFERROR(INDEX('Player Board'!$R$5:$R$304,MATCH(B272,'Player Board'!$A$5:$A$304,0)),"")</f>
        <v/>
      </c>
      <c r="H272" s="19" t="str">
        <f aca="false">IF(E272="","",G272-E272)</f>
        <v/>
      </c>
      <c r="I272" s="43"/>
      <c r="J272" s="18" t="str">
        <f aca="false">IF(B272="","",IF(A272=MAX($A$5:$A$304),"LAST — CLEAR INPUTS TO UNDO",IF(AND(D272&lt;&gt;"",E272&lt;&gt;""),"LOGGED","INCOMPLETE")))</f>
        <v/>
      </c>
      <c r="K272" s="18" t="str">
        <f aca="false">IFERROR(INDEX('Player Board'!$AA$5:$AA$304,MATCH(B272,'Player Board'!$A$5:$A$304,0)),"")</f>
        <v/>
      </c>
    </row>
    <row r="273" customFormat="false" ht="18" hidden="false" customHeight="true" outlineLevel="0" collapsed="false">
      <c r="A273" s="18" t="str">
        <f aca="false">IF(B273="","",ROW()-4)</f>
        <v/>
      </c>
      <c r="B273" s="43"/>
      <c r="C273" s="18" t="str">
        <f aca="false">IFERROR(INDEX('Player Board'!$G$5:$G$304,MATCH(B273,'Player Board'!$A$5:$A$304,0)),"")</f>
        <v/>
      </c>
      <c r="D273" s="43"/>
      <c r="E273" s="44"/>
      <c r="F273" s="44"/>
      <c r="G273" s="19" t="str">
        <f aca="false">IFERROR(INDEX('Player Board'!$R$5:$R$304,MATCH(B273,'Player Board'!$A$5:$A$304,0)),"")</f>
        <v/>
      </c>
      <c r="H273" s="19" t="str">
        <f aca="false">IF(E273="","",G273-E273)</f>
        <v/>
      </c>
      <c r="I273" s="43"/>
      <c r="J273" s="18" t="str">
        <f aca="false">IF(B273="","",IF(A273=MAX($A$5:$A$304),"LAST — CLEAR INPUTS TO UNDO",IF(AND(D273&lt;&gt;"",E273&lt;&gt;""),"LOGGED","INCOMPLETE")))</f>
        <v/>
      </c>
      <c r="K273" s="18" t="str">
        <f aca="false">IFERROR(INDEX('Player Board'!$AA$5:$AA$304,MATCH(B273,'Player Board'!$A$5:$A$304,0)),"")</f>
        <v/>
      </c>
    </row>
    <row r="274" customFormat="false" ht="18" hidden="false" customHeight="true" outlineLevel="0" collapsed="false">
      <c r="A274" s="18" t="str">
        <f aca="false">IF(B274="","",ROW()-4)</f>
        <v/>
      </c>
      <c r="B274" s="43"/>
      <c r="C274" s="18" t="str">
        <f aca="false">IFERROR(INDEX('Player Board'!$G$5:$G$304,MATCH(B274,'Player Board'!$A$5:$A$304,0)),"")</f>
        <v/>
      </c>
      <c r="D274" s="43"/>
      <c r="E274" s="44"/>
      <c r="F274" s="44"/>
      <c r="G274" s="19" t="str">
        <f aca="false">IFERROR(INDEX('Player Board'!$R$5:$R$304,MATCH(B274,'Player Board'!$A$5:$A$304,0)),"")</f>
        <v/>
      </c>
      <c r="H274" s="19" t="str">
        <f aca="false">IF(E274="","",G274-E274)</f>
        <v/>
      </c>
      <c r="I274" s="43"/>
      <c r="J274" s="18" t="str">
        <f aca="false">IF(B274="","",IF(A274=MAX($A$5:$A$304),"LAST — CLEAR INPUTS TO UNDO",IF(AND(D274&lt;&gt;"",E274&lt;&gt;""),"LOGGED","INCOMPLETE")))</f>
        <v/>
      </c>
      <c r="K274" s="18" t="str">
        <f aca="false">IFERROR(INDEX('Player Board'!$AA$5:$AA$304,MATCH(B274,'Player Board'!$A$5:$A$304,0)),"")</f>
        <v/>
      </c>
    </row>
    <row r="275" customFormat="false" ht="18" hidden="false" customHeight="true" outlineLevel="0" collapsed="false">
      <c r="A275" s="18" t="str">
        <f aca="false">IF(B275="","",ROW()-4)</f>
        <v/>
      </c>
      <c r="B275" s="43"/>
      <c r="C275" s="18" t="str">
        <f aca="false">IFERROR(INDEX('Player Board'!$G$5:$G$304,MATCH(B275,'Player Board'!$A$5:$A$304,0)),"")</f>
        <v/>
      </c>
      <c r="D275" s="43"/>
      <c r="E275" s="44"/>
      <c r="F275" s="44"/>
      <c r="G275" s="19" t="str">
        <f aca="false">IFERROR(INDEX('Player Board'!$R$5:$R$304,MATCH(B275,'Player Board'!$A$5:$A$304,0)),"")</f>
        <v/>
      </c>
      <c r="H275" s="19" t="str">
        <f aca="false">IF(E275="","",G275-E275)</f>
        <v/>
      </c>
      <c r="I275" s="43"/>
      <c r="J275" s="18" t="str">
        <f aca="false">IF(B275="","",IF(A275=MAX($A$5:$A$304),"LAST — CLEAR INPUTS TO UNDO",IF(AND(D275&lt;&gt;"",E275&lt;&gt;""),"LOGGED","INCOMPLETE")))</f>
        <v/>
      </c>
      <c r="K275" s="18" t="str">
        <f aca="false">IFERROR(INDEX('Player Board'!$AA$5:$AA$304,MATCH(B275,'Player Board'!$A$5:$A$304,0)),"")</f>
        <v/>
      </c>
    </row>
    <row r="276" customFormat="false" ht="18" hidden="false" customHeight="true" outlineLevel="0" collapsed="false">
      <c r="A276" s="18" t="str">
        <f aca="false">IF(B276="","",ROW()-4)</f>
        <v/>
      </c>
      <c r="B276" s="43"/>
      <c r="C276" s="18" t="str">
        <f aca="false">IFERROR(INDEX('Player Board'!$G$5:$G$304,MATCH(B276,'Player Board'!$A$5:$A$304,0)),"")</f>
        <v/>
      </c>
      <c r="D276" s="43"/>
      <c r="E276" s="44"/>
      <c r="F276" s="44"/>
      <c r="G276" s="19" t="str">
        <f aca="false">IFERROR(INDEX('Player Board'!$R$5:$R$304,MATCH(B276,'Player Board'!$A$5:$A$304,0)),"")</f>
        <v/>
      </c>
      <c r="H276" s="19" t="str">
        <f aca="false">IF(E276="","",G276-E276)</f>
        <v/>
      </c>
      <c r="I276" s="43"/>
      <c r="J276" s="18" t="str">
        <f aca="false">IF(B276="","",IF(A276=MAX($A$5:$A$304),"LAST — CLEAR INPUTS TO UNDO",IF(AND(D276&lt;&gt;"",E276&lt;&gt;""),"LOGGED","INCOMPLETE")))</f>
        <v/>
      </c>
      <c r="K276" s="18" t="str">
        <f aca="false">IFERROR(INDEX('Player Board'!$AA$5:$AA$304,MATCH(B276,'Player Board'!$A$5:$A$304,0)),"")</f>
        <v/>
      </c>
    </row>
    <row r="277" customFormat="false" ht="18" hidden="false" customHeight="true" outlineLevel="0" collapsed="false">
      <c r="A277" s="18" t="str">
        <f aca="false">IF(B277="","",ROW()-4)</f>
        <v/>
      </c>
      <c r="B277" s="43"/>
      <c r="C277" s="18" t="str">
        <f aca="false">IFERROR(INDEX('Player Board'!$G$5:$G$304,MATCH(B277,'Player Board'!$A$5:$A$304,0)),"")</f>
        <v/>
      </c>
      <c r="D277" s="43"/>
      <c r="E277" s="44"/>
      <c r="F277" s="44"/>
      <c r="G277" s="19" t="str">
        <f aca="false">IFERROR(INDEX('Player Board'!$R$5:$R$304,MATCH(B277,'Player Board'!$A$5:$A$304,0)),"")</f>
        <v/>
      </c>
      <c r="H277" s="19" t="str">
        <f aca="false">IF(E277="","",G277-E277)</f>
        <v/>
      </c>
      <c r="I277" s="43"/>
      <c r="J277" s="18" t="str">
        <f aca="false">IF(B277="","",IF(A277=MAX($A$5:$A$304),"LAST — CLEAR INPUTS TO UNDO",IF(AND(D277&lt;&gt;"",E277&lt;&gt;""),"LOGGED","INCOMPLETE")))</f>
        <v/>
      </c>
      <c r="K277" s="18" t="str">
        <f aca="false">IFERROR(INDEX('Player Board'!$AA$5:$AA$304,MATCH(B277,'Player Board'!$A$5:$A$304,0)),"")</f>
        <v/>
      </c>
    </row>
    <row r="278" customFormat="false" ht="18" hidden="false" customHeight="true" outlineLevel="0" collapsed="false">
      <c r="A278" s="18" t="str">
        <f aca="false">IF(B278="","",ROW()-4)</f>
        <v/>
      </c>
      <c r="B278" s="43"/>
      <c r="C278" s="18" t="str">
        <f aca="false">IFERROR(INDEX('Player Board'!$G$5:$G$304,MATCH(B278,'Player Board'!$A$5:$A$304,0)),"")</f>
        <v/>
      </c>
      <c r="D278" s="43"/>
      <c r="E278" s="44"/>
      <c r="F278" s="44"/>
      <c r="G278" s="19" t="str">
        <f aca="false">IFERROR(INDEX('Player Board'!$R$5:$R$304,MATCH(B278,'Player Board'!$A$5:$A$304,0)),"")</f>
        <v/>
      </c>
      <c r="H278" s="19" t="str">
        <f aca="false">IF(E278="","",G278-E278)</f>
        <v/>
      </c>
      <c r="I278" s="43"/>
      <c r="J278" s="18" t="str">
        <f aca="false">IF(B278="","",IF(A278=MAX($A$5:$A$304),"LAST — CLEAR INPUTS TO UNDO",IF(AND(D278&lt;&gt;"",E278&lt;&gt;""),"LOGGED","INCOMPLETE")))</f>
        <v/>
      </c>
      <c r="K278" s="18" t="str">
        <f aca="false">IFERROR(INDEX('Player Board'!$AA$5:$AA$304,MATCH(B278,'Player Board'!$A$5:$A$304,0)),"")</f>
        <v/>
      </c>
    </row>
    <row r="279" customFormat="false" ht="18" hidden="false" customHeight="true" outlineLevel="0" collapsed="false">
      <c r="A279" s="18" t="str">
        <f aca="false">IF(B279="","",ROW()-4)</f>
        <v/>
      </c>
      <c r="B279" s="43"/>
      <c r="C279" s="18" t="str">
        <f aca="false">IFERROR(INDEX('Player Board'!$G$5:$G$304,MATCH(B279,'Player Board'!$A$5:$A$304,0)),"")</f>
        <v/>
      </c>
      <c r="D279" s="43"/>
      <c r="E279" s="44"/>
      <c r="F279" s="44"/>
      <c r="G279" s="19" t="str">
        <f aca="false">IFERROR(INDEX('Player Board'!$R$5:$R$304,MATCH(B279,'Player Board'!$A$5:$A$304,0)),"")</f>
        <v/>
      </c>
      <c r="H279" s="19" t="str">
        <f aca="false">IF(E279="","",G279-E279)</f>
        <v/>
      </c>
      <c r="I279" s="43"/>
      <c r="J279" s="18" t="str">
        <f aca="false">IF(B279="","",IF(A279=MAX($A$5:$A$304),"LAST — CLEAR INPUTS TO UNDO",IF(AND(D279&lt;&gt;"",E279&lt;&gt;""),"LOGGED","INCOMPLETE")))</f>
        <v/>
      </c>
      <c r="K279" s="18" t="str">
        <f aca="false">IFERROR(INDEX('Player Board'!$AA$5:$AA$304,MATCH(B279,'Player Board'!$A$5:$A$304,0)),"")</f>
        <v/>
      </c>
    </row>
    <row r="280" customFormat="false" ht="18" hidden="false" customHeight="true" outlineLevel="0" collapsed="false">
      <c r="A280" s="18" t="str">
        <f aca="false">IF(B280="","",ROW()-4)</f>
        <v/>
      </c>
      <c r="B280" s="43"/>
      <c r="C280" s="18" t="str">
        <f aca="false">IFERROR(INDEX('Player Board'!$G$5:$G$304,MATCH(B280,'Player Board'!$A$5:$A$304,0)),"")</f>
        <v/>
      </c>
      <c r="D280" s="43"/>
      <c r="E280" s="44"/>
      <c r="F280" s="44"/>
      <c r="G280" s="19" t="str">
        <f aca="false">IFERROR(INDEX('Player Board'!$R$5:$R$304,MATCH(B280,'Player Board'!$A$5:$A$304,0)),"")</f>
        <v/>
      </c>
      <c r="H280" s="19" t="str">
        <f aca="false">IF(E280="","",G280-E280)</f>
        <v/>
      </c>
      <c r="I280" s="43"/>
      <c r="J280" s="18" t="str">
        <f aca="false">IF(B280="","",IF(A280=MAX($A$5:$A$304),"LAST — CLEAR INPUTS TO UNDO",IF(AND(D280&lt;&gt;"",E280&lt;&gt;""),"LOGGED","INCOMPLETE")))</f>
        <v/>
      </c>
      <c r="K280" s="18" t="str">
        <f aca="false">IFERROR(INDEX('Player Board'!$AA$5:$AA$304,MATCH(B280,'Player Board'!$A$5:$A$304,0)),"")</f>
        <v/>
      </c>
    </row>
    <row r="281" customFormat="false" ht="18" hidden="false" customHeight="true" outlineLevel="0" collapsed="false">
      <c r="A281" s="18" t="str">
        <f aca="false">IF(B281="","",ROW()-4)</f>
        <v/>
      </c>
      <c r="B281" s="43"/>
      <c r="C281" s="18" t="str">
        <f aca="false">IFERROR(INDEX('Player Board'!$G$5:$G$304,MATCH(B281,'Player Board'!$A$5:$A$304,0)),"")</f>
        <v/>
      </c>
      <c r="D281" s="43"/>
      <c r="E281" s="44"/>
      <c r="F281" s="44"/>
      <c r="G281" s="19" t="str">
        <f aca="false">IFERROR(INDEX('Player Board'!$R$5:$R$304,MATCH(B281,'Player Board'!$A$5:$A$304,0)),"")</f>
        <v/>
      </c>
      <c r="H281" s="19" t="str">
        <f aca="false">IF(E281="","",G281-E281)</f>
        <v/>
      </c>
      <c r="I281" s="43"/>
      <c r="J281" s="18" t="str">
        <f aca="false">IF(B281="","",IF(A281=MAX($A$5:$A$304),"LAST — CLEAR INPUTS TO UNDO",IF(AND(D281&lt;&gt;"",E281&lt;&gt;""),"LOGGED","INCOMPLETE")))</f>
        <v/>
      </c>
      <c r="K281" s="18" t="str">
        <f aca="false">IFERROR(INDEX('Player Board'!$AA$5:$AA$304,MATCH(B281,'Player Board'!$A$5:$A$304,0)),"")</f>
        <v/>
      </c>
    </row>
    <row r="282" customFormat="false" ht="18" hidden="false" customHeight="true" outlineLevel="0" collapsed="false">
      <c r="A282" s="18" t="str">
        <f aca="false">IF(B282="","",ROW()-4)</f>
        <v/>
      </c>
      <c r="B282" s="43"/>
      <c r="C282" s="18" t="str">
        <f aca="false">IFERROR(INDEX('Player Board'!$G$5:$G$304,MATCH(B282,'Player Board'!$A$5:$A$304,0)),"")</f>
        <v/>
      </c>
      <c r="D282" s="43"/>
      <c r="E282" s="44"/>
      <c r="F282" s="44"/>
      <c r="G282" s="19" t="str">
        <f aca="false">IFERROR(INDEX('Player Board'!$R$5:$R$304,MATCH(B282,'Player Board'!$A$5:$A$304,0)),"")</f>
        <v/>
      </c>
      <c r="H282" s="19" t="str">
        <f aca="false">IF(E282="","",G282-E282)</f>
        <v/>
      </c>
      <c r="I282" s="43"/>
      <c r="J282" s="18" t="str">
        <f aca="false">IF(B282="","",IF(A282=MAX($A$5:$A$304),"LAST — CLEAR INPUTS TO UNDO",IF(AND(D282&lt;&gt;"",E282&lt;&gt;""),"LOGGED","INCOMPLETE")))</f>
        <v/>
      </c>
      <c r="K282" s="18" t="str">
        <f aca="false">IFERROR(INDEX('Player Board'!$AA$5:$AA$304,MATCH(B282,'Player Board'!$A$5:$A$304,0)),"")</f>
        <v/>
      </c>
    </row>
    <row r="283" customFormat="false" ht="18" hidden="false" customHeight="true" outlineLevel="0" collapsed="false">
      <c r="A283" s="18" t="str">
        <f aca="false">IF(B283="","",ROW()-4)</f>
        <v/>
      </c>
      <c r="B283" s="43"/>
      <c r="C283" s="18" t="str">
        <f aca="false">IFERROR(INDEX('Player Board'!$G$5:$G$304,MATCH(B283,'Player Board'!$A$5:$A$304,0)),"")</f>
        <v/>
      </c>
      <c r="D283" s="43"/>
      <c r="E283" s="44"/>
      <c r="F283" s="44"/>
      <c r="G283" s="19" t="str">
        <f aca="false">IFERROR(INDEX('Player Board'!$R$5:$R$304,MATCH(B283,'Player Board'!$A$5:$A$304,0)),"")</f>
        <v/>
      </c>
      <c r="H283" s="19" t="str">
        <f aca="false">IF(E283="","",G283-E283)</f>
        <v/>
      </c>
      <c r="I283" s="43"/>
      <c r="J283" s="18" t="str">
        <f aca="false">IF(B283="","",IF(A283=MAX($A$5:$A$304),"LAST — CLEAR INPUTS TO UNDO",IF(AND(D283&lt;&gt;"",E283&lt;&gt;""),"LOGGED","INCOMPLETE")))</f>
        <v/>
      </c>
      <c r="K283" s="18" t="str">
        <f aca="false">IFERROR(INDEX('Player Board'!$AA$5:$AA$304,MATCH(B283,'Player Board'!$A$5:$A$304,0)),"")</f>
        <v/>
      </c>
    </row>
    <row r="284" customFormat="false" ht="18" hidden="false" customHeight="true" outlineLevel="0" collapsed="false">
      <c r="A284" s="18" t="str">
        <f aca="false">IF(B284="","",ROW()-4)</f>
        <v/>
      </c>
      <c r="B284" s="43"/>
      <c r="C284" s="18" t="str">
        <f aca="false">IFERROR(INDEX('Player Board'!$G$5:$G$304,MATCH(B284,'Player Board'!$A$5:$A$304,0)),"")</f>
        <v/>
      </c>
      <c r="D284" s="43"/>
      <c r="E284" s="44"/>
      <c r="F284" s="44"/>
      <c r="G284" s="19" t="str">
        <f aca="false">IFERROR(INDEX('Player Board'!$R$5:$R$304,MATCH(B284,'Player Board'!$A$5:$A$304,0)),"")</f>
        <v/>
      </c>
      <c r="H284" s="19" t="str">
        <f aca="false">IF(E284="","",G284-E284)</f>
        <v/>
      </c>
      <c r="I284" s="43"/>
      <c r="J284" s="18" t="str">
        <f aca="false">IF(B284="","",IF(A284=MAX($A$5:$A$304),"LAST — CLEAR INPUTS TO UNDO",IF(AND(D284&lt;&gt;"",E284&lt;&gt;""),"LOGGED","INCOMPLETE")))</f>
        <v/>
      </c>
      <c r="K284" s="18" t="str">
        <f aca="false">IFERROR(INDEX('Player Board'!$AA$5:$AA$304,MATCH(B284,'Player Board'!$A$5:$A$304,0)),"")</f>
        <v/>
      </c>
    </row>
    <row r="285" customFormat="false" ht="18" hidden="false" customHeight="true" outlineLevel="0" collapsed="false">
      <c r="A285" s="18" t="str">
        <f aca="false">IF(B285="","",ROW()-4)</f>
        <v/>
      </c>
      <c r="B285" s="43"/>
      <c r="C285" s="18" t="str">
        <f aca="false">IFERROR(INDEX('Player Board'!$G$5:$G$304,MATCH(B285,'Player Board'!$A$5:$A$304,0)),"")</f>
        <v/>
      </c>
      <c r="D285" s="43"/>
      <c r="E285" s="44"/>
      <c r="F285" s="44"/>
      <c r="G285" s="19" t="str">
        <f aca="false">IFERROR(INDEX('Player Board'!$R$5:$R$304,MATCH(B285,'Player Board'!$A$5:$A$304,0)),"")</f>
        <v/>
      </c>
      <c r="H285" s="19" t="str">
        <f aca="false">IF(E285="","",G285-E285)</f>
        <v/>
      </c>
      <c r="I285" s="43"/>
      <c r="J285" s="18" t="str">
        <f aca="false">IF(B285="","",IF(A285=MAX($A$5:$A$304),"LAST — CLEAR INPUTS TO UNDO",IF(AND(D285&lt;&gt;"",E285&lt;&gt;""),"LOGGED","INCOMPLETE")))</f>
        <v/>
      </c>
      <c r="K285" s="18" t="str">
        <f aca="false">IFERROR(INDEX('Player Board'!$AA$5:$AA$304,MATCH(B285,'Player Board'!$A$5:$A$304,0)),"")</f>
        <v/>
      </c>
    </row>
    <row r="286" customFormat="false" ht="18" hidden="false" customHeight="true" outlineLevel="0" collapsed="false">
      <c r="A286" s="18" t="str">
        <f aca="false">IF(B286="","",ROW()-4)</f>
        <v/>
      </c>
      <c r="B286" s="43"/>
      <c r="C286" s="18" t="str">
        <f aca="false">IFERROR(INDEX('Player Board'!$G$5:$G$304,MATCH(B286,'Player Board'!$A$5:$A$304,0)),"")</f>
        <v/>
      </c>
      <c r="D286" s="43"/>
      <c r="E286" s="44"/>
      <c r="F286" s="44"/>
      <c r="G286" s="19" t="str">
        <f aca="false">IFERROR(INDEX('Player Board'!$R$5:$R$304,MATCH(B286,'Player Board'!$A$5:$A$304,0)),"")</f>
        <v/>
      </c>
      <c r="H286" s="19" t="str">
        <f aca="false">IF(E286="","",G286-E286)</f>
        <v/>
      </c>
      <c r="I286" s="43"/>
      <c r="J286" s="18" t="str">
        <f aca="false">IF(B286="","",IF(A286=MAX($A$5:$A$304),"LAST — CLEAR INPUTS TO UNDO",IF(AND(D286&lt;&gt;"",E286&lt;&gt;""),"LOGGED","INCOMPLETE")))</f>
        <v/>
      </c>
      <c r="K286" s="18" t="str">
        <f aca="false">IFERROR(INDEX('Player Board'!$AA$5:$AA$304,MATCH(B286,'Player Board'!$A$5:$A$304,0)),"")</f>
        <v/>
      </c>
    </row>
    <row r="287" customFormat="false" ht="18" hidden="false" customHeight="true" outlineLevel="0" collapsed="false">
      <c r="A287" s="18" t="str">
        <f aca="false">IF(B287="","",ROW()-4)</f>
        <v/>
      </c>
      <c r="B287" s="43"/>
      <c r="C287" s="18" t="str">
        <f aca="false">IFERROR(INDEX('Player Board'!$G$5:$G$304,MATCH(B287,'Player Board'!$A$5:$A$304,0)),"")</f>
        <v/>
      </c>
      <c r="D287" s="43"/>
      <c r="E287" s="44"/>
      <c r="F287" s="44"/>
      <c r="G287" s="19" t="str">
        <f aca="false">IFERROR(INDEX('Player Board'!$R$5:$R$304,MATCH(B287,'Player Board'!$A$5:$A$304,0)),"")</f>
        <v/>
      </c>
      <c r="H287" s="19" t="str">
        <f aca="false">IF(E287="","",G287-E287)</f>
        <v/>
      </c>
      <c r="I287" s="43"/>
      <c r="J287" s="18" t="str">
        <f aca="false">IF(B287="","",IF(A287=MAX($A$5:$A$304),"LAST — CLEAR INPUTS TO UNDO",IF(AND(D287&lt;&gt;"",E287&lt;&gt;""),"LOGGED","INCOMPLETE")))</f>
        <v/>
      </c>
      <c r="K287" s="18" t="str">
        <f aca="false">IFERROR(INDEX('Player Board'!$AA$5:$AA$304,MATCH(B287,'Player Board'!$A$5:$A$304,0)),"")</f>
        <v/>
      </c>
    </row>
    <row r="288" customFormat="false" ht="18" hidden="false" customHeight="true" outlineLevel="0" collapsed="false">
      <c r="A288" s="18" t="str">
        <f aca="false">IF(B288="","",ROW()-4)</f>
        <v/>
      </c>
      <c r="B288" s="43"/>
      <c r="C288" s="18" t="str">
        <f aca="false">IFERROR(INDEX('Player Board'!$G$5:$G$304,MATCH(B288,'Player Board'!$A$5:$A$304,0)),"")</f>
        <v/>
      </c>
      <c r="D288" s="43"/>
      <c r="E288" s="44"/>
      <c r="F288" s="44"/>
      <c r="G288" s="19" t="str">
        <f aca="false">IFERROR(INDEX('Player Board'!$R$5:$R$304,MATCH(B288,'Player Board'!$A$5:$A$304,0)),"")</f>
        <v/>
      </c>
      <c r="H288" s="19" t="str">
        <f aca="false">IF(E288="","",G288-E288)</f>
        <v/>
      </c>
      <c r="I288" s="43"/>
      <c r="J288" s="18" t="str">
        <f aca="false">IF(B288="","",IF(A288=MAX($A$5:$A$304),"LAST — CLEAR INPUTS TO UNDO",IF(AND(D288&lt;&gt;"",E288&lt;&gt;""),"LOGGED","INCOMPLETE")))</f>
        <v/>
      </c>
      <c r="K288" s="18" t="str">
        <f aca="false">IFERROR(INDEX('Player Board'!$AA$5:$AA$304,MATCH(B288,'Player Board'!$A$5:$A$304,0)),"")</f>
        <v/>
      </c>
    </row>
    <row r="289" customFormat="false" ht="18" hidden="false" customHeight="true" outlineLevel="0" collapsed="false">
      <c r="A289" s="18" t="str">
        <f aca="false">IF(B289="","",ROW()-4)</f>
        <v/>
      </c>
      <c r="B289" s="43"/>
      <c r="C289" s="18" t="str">
        <f aca="false">IFERROR(INDEX('Player Board'!$G$5:$G$304,MATCH(B289,'Player Board'!$A$5:$A$304,0)),"")</f>
        <v/>
      </c>
      <c r="D289" s="43"/>
      <c r="E289" s="44"/>
      <c r="F289" s="44"/>
      <c r="G289" s="19" t="str">
        <f aca="false">IFERROR(INDEX('Player Board'!$R$5:$R$304,MATCH(B289,'Player Board'!$A$5:$A$304,0)),"")</f>
        <v/>
      </c>
      <c r="H289" s="19" t="str">
        <f aca="false">IF(E289="","",G289-E289)</f>
        <v/>
      </c>
      <c r="I289" s="43"/>
      <c r="J289" s="18" t="str">
        <f aca="false">IF(B289="","",IF(A289=MAX($A$5:$A$304),"LAST — CLEAR INPUTS TO UNDO",IF(AND(D289&lt;&gt;"",E289&lt;&gt;""),"LOGGED","INCOMPLETE")))</f>
        <v/>
      </c>
      <c r="K289" s="18" t="str">
        <f aca="false">IFERROR(INDEX('Player Board'!$AA$5:$AA$304,MATCH(B289,'Player Board'!$A$5:$A$304,0)),"")</f>
        <v/>
      </c>
    </row>
    <row r="290" customFormat="false" ht="18" hidden="false" customHeight="true" outlineLevel="0" collapsed="false">
      <c r="A290" s="18" t="str">
        <f aca="false">IF(B290="","",ROW()-4)</f>
        <v/>
      </c>
      <c r="B290" s="43"/>
      <c r="C290" s="18" t="str">
        <f aca="false">IFERROR(INDEX('Player Board'!$G$5:$G$304,MATCH(B290,'Player Board'!$A$5:$A$304,0)),"")</f>
        <v/>
      </c>
      <c r="D290" s="43"/>
      <c r="E290" s="44"/>
      <c r="F290" s="44"/>
      <c r="G290" s="19" t="str">
        <f aca="false">IFERROR(INDEX('Player Board'!$R$5:$R$304,MATCH(B290,'Player Board'!$A$5:$A$304,0)),"")</f>
        <v/>
      </c>
      <c r="H290" s="19" t="str">
        <f aca="false">IF(E290="","",G290-E290)</f>
        <v/>
      </c>
      <c r="I290" s="43"/>
      <c r="J290" s="18" t="str">
        <f aca="false">IF(B290="","",IF(A290=MAX($A$5:$A$304),"LAST — CLEAR INPUTS TO UNDO",IF(AND(D290&lt;&gt;"",E290&lt;&gt;""),"LOGGED","INCOMPLETE")))</f>
        <v/>
      </c>
      <c r="K290" s="18" t="str">
        <f aca="false">IFERROR(INDEX('Player Board'!$AA$5:$AA$304,MATCH(B290,'Player Board'!$A$5:$A$304,0)),"")</f>
        <v/>
      </c>
    </row>
    <row r="291" customFormat="false" ht="18" hidden="false" customHeight="true" outlineLevel="0" collapsed="false">
      <c r="A291" s="18" t="str">
        <f aca="false">IF(B291="","",ROW()-4)</f>
        <v/>
      </c>
      <c r="B291" s="43"/>
      <c r="C291" s="18" t="str">
        <f aca="false">IFERROR(INDEX('Player Board'!$G$5:$G$304,MATCH(B291,'Player Board'!$A$5:$A$304,0)),"")</f>
        <v/>
      </c>
      <c r="D291" s="43"/>
      <c r="E291" s="44"/>
      <c r="F291" s="44"/>
      <c r="G291" s="19" t="str">
        <f aca="false">IFERROR(INDEX('Player Board'!$R$5:$R$304,MATCH(B291,'Player Board'!$A$5:$A$304,0)),"")</f>
        <v/>
      </c>
      <c r="H291" s="19" t="str">
        <f aca="false">IF(E291="","",G291-E291)</f>
        <v/>
      </c>
      <c r="I291" s="43"/>
      <c r="J291" s="18" t="str">
        <f aca="false">IF(B291="","",IF(A291=MAX($A$5:$A$304),"LAST — CLEAR INPUTS TO UNDO",IF(AND(D291&lt;&gt;"",E291&lt;&gt;""),"LOGGED","INCOMPLETE")))</f>
        <v/>
      </c>
      <c r="K291" s="18" t="str">
        <f aca="false">IFERROR(INDEX('Player Board'!$AA$5:$AA$304,MATCH(B291,'Player Board'!$A$5:$A$304,0)),"")</f>
        <v/>
      </c>
    </row>
    <row r="292" customFormat="false" ht="18" hidden="false" customHeight="true" outlineLevel="0" collapsed="false">
      <c r="A292" s="18" t="str">
        <f aca="false">IF(B292="","",ROW()-4)</f>
        <v/>
      </c>
      <c r="B292" s="43"/>
      <c r="C292" s="18" t="str">
        <f aca="false">IFERROR(INDEX('Player Board'!$G$5:$G$304,MATCH(B292,'Player Board'!$A$5:$A$304,0)),"")</f>
        <v/>
      </c>
      <c r="D292" s="43"/>
      <c r="E292" s="44"/>
      <c r="F292" s="44"/>
      <c r="G292" s="19" t="str">
        <f aca="false">IFERROR(INDEX('Player Board'!$R$5:$R$304,MATCH(B292,'Player Board'!$A$5:$A$304,0)),"")</f>
        <v/>
      </c>
      <c r="H292" s="19" t="str">
        <f aca="false">IF(E292="","",G292-E292)</f>
        <v/>
      </c>
      <c r="I292" s="43"/>
      <c r="J292" s="18" t="str">
        <f aca="false">IF(B292="","",IF(A292=MAX($A$5:$A$304),"LAST — CLEAR INPUTS TO UNDO",IF(AND(D292&lt;&gt;"",E292&lt;&gt;""),"LOGGED","INCOMPLETE")))</f>
        <v/>
      </c>
      <c r="K292" s="18" t="str">
        <f aca="false">IFERROR(INDEX('Player Board'!$AA$5:$AA$304,MATCH(B292,'Player Board'!$A$5:$A$304,0)),"")</f>
        <v/>
      </c>
    </row>
    <row r="293" customFormat="false" ht="18" hidden="false" customHeight="true" outlineLevel="0" collapsed="false">
      <c r="A293" s="18" t="str">
        <f aca="false">IF(B293="","",ROW()-4)</f>
        <v/>
      </c>
      <c r="B293" s="43"/>
      <c r="C293" s="18" t="str">
        <f aca="false">IFERROR(INDEX('Player Board'!$G$5:$G$304,MATCH(B293,'Player Board'!$A$5:$A$304,0)),"")</f>
        <v/>
      </c>
      <c r="D293" s="43"/>
      <c r="E293" s="44"/>
      <c r="F293" s="44"/>
      <c r="G293" s="19" t="str">
        <f aca="false">IFERROR(INDEX('Player Board'!$R$5:$R$304,MATCH(B293,'Player Board'!$A$5:$A$304,0)),"")</f>
        <v/>
      </c>
      <c r="H293" s="19" t="str">
        <f aca="false">IF(E293="","",G293-E293)</f>
        <v/>
      </c>
      <c r="I293" s="43"/>
      <c r="J293" s="18" t="str">
        <f aca="false">IF(B293="","",IF(A293=MAX($A$5:$A$304),"LAST — CLEAR INPUTS TO UNDO",IF(AND(D293&lt;&gt;"",E293&lt;&gt;""),"LOGGED","INCOMPLETE")))</f>
        <v/>
      </c>
      <c r="K293" s="18" t="str">
        <f aca="false">IFERROR(INDEX('Player Board'!$AA$5:$AA$304,MATCH(B293,'Player Board'!$A$5:$A$304,0)),"")</f>
        <v/>
      </c>
    </row>
    <row r="294" customFormat="false" ht="18" hidden="false" customHeight="true" outlineLevel="0" collapsed="false">
      <c r="A294" s="18" t="str">
        <f aca="false">IF(B294="","",ROW()-4)</f>
        <v/>
      </c>
      <c r="B294" s="43"/>
      <c r="C294" s="18" t="str">
        <f aca="false">IFERROR(INDEX('Player Board'!$G$5:$G$304,MATCH(B294,'Player Board'!$A$5:$A$304,0)),"")</f>
        <v/>
      </c>
      <c r="D294" s="43"/>
      <c r="E294" s="44"/>
      <c r="F294" s="44"/>
      <c r="G294" s="19" t="str">
        <f aca="false">IFERROR(INDEX('Player Board'!$R$5:$R$304,MATCH(B294,'Player Board'!$A$5:$A$304,0)),"")</f>
        <v/>
      </c>
      <c r="H294" s="19" t="str">
        <f aca="false">IF(E294="","",G294-E294)</f>
        <v/>
      </c>
      <c r="I294" s="43"/>
      <c r="J294" s="18" t="str">
        <f aca="false">IF(B294="","",IF(A294=MAX($A$5:$A$304),"LAST — CLEAR INPUTS TO UNDO",IF(AND(D294&lt;&gt;"",E294&lt;&gt;""),"LOGGED","INCOMPLETE")))</f>
        <v/>
      </c>
      <c r="K294" s="18" t="str">
        <f aca="false">IFERROR(INDEX('Player Board'!$AA$5:$AA$304,MATCH(B294,'Player Board'!$A$5:$A$304,0)),"")</f>
        <v/>
      </c>
    </row>
    <row r="295" customFormat="false" ht="18" hidden="false" customHeight="true" outlineLevel="0" collapsed="false">
      <c r="A295" s="18" t="str">
        <f aca="false">IF(B295="","",ROW()-4)</f>
        <v/>
      </c>
      <c r="B295" s="43"/>
      <c r="C295" s="18" t="str">
        <f aca="false">IFERROR(INDEX('Player Board'!$G$5:$G$304,MATCH(B295,'Player Board'!$A$5:$A$304,0)),"")</f>
        <v/>
      </c>
      <c r="D295" s="43"/>
      <c r="E295" s="44"/>
      <c r="F295" s="44"/>
      <c r="G295" s="19" t="str">
        <f aca="false">IFERROR(INDEX('Player Board'!$R$5:$R$304,MATCH(B295,'Player Board'!$A$5:$A$304,0)),"")</f>
        <v/>
      </c>
      <c r="H295" s="19" t="str">
        <f aca="false">IF(E295="","",G295-E295)</f>
        <v/>
      </c>
      <c r="I295" s="43"/>
      <c r="J295" s="18" t="str">
        <f aca="false">IF(B295="","",IF(A295=MAX($A$5:$A$304),"LAST — CLEAR INPUTS TO UNDO",IF(AND(D295&lt;&gt;"",E295&lt;&gt;""),"LOGGED","INCOMPLETE")))</f>
        <v/>
      </c>
      <c r="K295" s="18" t="str">
        <f aca="false">IFERROR(INDEX('Player Board'!$AA$5:$AA$304,MATCH(B295,'Player Board'!$A$5:$A$304,0)),"")</f>
        <v/>
      </c>
    </row>
    <row r="296" customFormat="false" ht="18" hidden="false" customHeight="true" outlineLevel="0" collapsed="false">
      <c r="A296" s="18" t="str">
        <f aca="false">IF(B296="","",ROW()-4)</f>
        <v/>
      </c>
      <c r="B296" s="43"/>
      <c r="C296" s="18" t="str">
        <f aca="false">IFERROR(INDEX('Player Board'!$G$5:$G$304,MATCH(B296,'Player Board'!$A$5:$A$304,0)),"")</f>
        <v/>
      </c>
      <c r="D296" s="43"/>
      <c r="E296" s="44"/>
      <c r="F296" s="44"/>
      <c r="G296" s="19" t="str">
        <f aca="false">IFERROR(INDEX('Player Board'!$R$5:$R$304,MATCH(B296,'Player Board'!$A$5:$A$304,0)),"")</f>
        <v/>
      </c>
      <c r="H296" s="19" t="str">
        <f aca="false">IF(E296="","",G296-E296)</f>
        <v/>
      </c>
      <c r="I296" s="43"/>
      <c r="J296" s="18" t="str">
        <f aca="false">IF(B296="","",IF(A296=MAX($A$5:$A$304),"LAST — CLEAR INPUTS TO UNDO",IF(AND(D296&lt;&gt;"",E296&lt;&gt;""),"LOGGED","INCOMPLETE")))</f>
        <v/>
      </c>
      <c r="K296" s="18" t="str">
        <f aca="false">IFERROR(INDEX('Player Board'!$AA$5:$AA$304,MATCH(B296,'Player Board'!$A$5:$A$304,0)),"")</f>
        <v/>
      </c>
    </row>
    <row r="297" customFormat="false" ht="18" hidden="false" customHeight="true" outlineLevel="0" collapsed="false">
      <c r="A297" s="18" t="str">
        <f aca="false">IF(B297="","",ROW()-4)</f>
        <v/>
      </c>
      <c r="B297" s="43"/>
      <c r="C297" s="18" t="str">
        <f aca="false">IFERROR(INDEX('Player Board'!$G$5:$G$304,MATCH(B297,'Player Board'!$A$5:$A$304,0)),"")</f>
        <v/>
      </c>
      <c r="D297" s="43"/>
      <c r="E297" s="44"/>
      <c r="F297" s="44"/>
      <c r="G297" s="19" t="str">
        <f aca="false">IFERROR(INDEX('Player Board'!$R$5:$R$304,MATCH(B297,'Player Board'!$A$5:$A$304,0)),"")</f>
        <v/>
      </c>
      <c r="H297" s="19" t="str">
        <f aca="false">IF(E297="","",G297-E297)</f>
        <v/>
      </c>
      <c r="I297" s="43"/>
      <c r="J297" s="18" t="str">
        <f aca="false">IF(B297="","",IF(A297=MAX($A$5:$A$304),"LAST — CLEAR INPUTS TO UNDO",IF(AND(D297&lt;&gt;"",E297&lt;&gt;""),"LOGGED","INCOMPLETE")))</f>
        <v/>
      </c>
      <c r="K297" s="18" t="str">
        <f aca="false">IFERROR(INDEX('Player Board'!$AA$5:$AA$304,MATCH(B297,'Player Board'!$A$5:$A$304,0)),"")</f>
        <v/>
      </c>
    </row>
    <row r="298" customFormat="false" ht="18" hidden="false" customHeight="true" outlineLevel="0" collapsed="false">
      <c r="A298" s="18" t="str">
        <f aca="false">IF(B298="","",ROW()-4)</f>
        <v/>
      </c>
      <c r="B298" s="43"/>
      <c r="C298" s="18" t="str">
        <f aca="false">IFERROR(INDEX('Player Board'!$G$5:$G$304,MATCH(B298,'Player Board'!$A$5:$A$304,0)),"")</f>
        <v/>
      </c>
      <c r="D298" s="43"/>
      <c r="E298" s="44"/>
      <c r="F298" s="44"/>
      <c r="G298" s="19" t="str">
        <f aca="false">IFERROR(INDEX('Player Board'!$R$5:$R$304,MATCH(B298,'Player Board'!$A$5:$A$304,0)),"")</f>
        <v/>
      </c>
      <c r="H298" s="19" t="str">
        <f aca="false">IF(E298="","",G298-E298)</f>
        <v/>
      </c>
      <c r="I298" s="43"/>
      <c r="J298" s="18" t="str">
        <f aca="false">IF(B298="","",IF(A298=MAX($A$5:$A$304),"LAST — CLEAR INPUTS TO UNDO",IF(AND(D298&lt;&gt;"",E298&lt;&gt;""),"LOGGED","INCOMPLETE")))</f>
        <v/>
      </c>
      <c r="K298" s="18" t="str">
        <f aca="false">IFERROR(INDEX('Player Board'!$AA$5:$AA$304,MATCH(B298,'Player Board'!$A$5:$A$304,0)),"")</f>
        <v/>
      </c>
    </row>
    <row r="299" customFormat="false" ht="18" hidden="false" customHeight="true" outlineLevel="0" collapsed="false">
      <c r="A299" s="18" t="str">
        <f aca="false">IF(B299="","",ROW()-4)</f>
        <v/>
      </c>
      <c r="B299" s="43"/>
      <c r="C299" s="18" t="str">
        <f aca="false">IFERROR(INDEX('Player Board'!$G$5:$G$304,MATCH(B299,'Player Board'!$A$5:$A$304,0)),"")</f>
        <v/>
      </c>
      <c r="D299" s="43"/>
      <c r="E299" s="44"/>
      <c r="F299" s="44"/>
      <c r="G299" s="19" t="str">
        <f aca="false">IFERROR(INDEX('Player Board'!$R$5:$R$304,MATCH(B299,'Player Board'!$A$5:$A$304,0)),"")</f>
        <v/>
      </c>
      <c r="H299" s="19" t="str">
        <f aca="false">IF(E299="","",G299-E299)</f>
        <v/>
      </c>
      <c r="I299" s="43"/>
      <c r="J299" s="18" t="str">
        <f aca="false">IF(B299="","",IF(A299=MAX($A$5:$A$304),"LAST — CLEAR INPUTS TO UNDO",IF(AND(D299&lt;&gt;"",E299&lt;&gt;""),"LOGGED","INCOMPLETE")))</f>
        <v/>
      </c>
      <c r="K299" s="18" t="str">
        <f aca="false">IFERROR(INDEX('Player Board'!$AA$5:$AA$304,MATCH(B299,'Player Board'!$A$5:$A$304,0)),"")</f>
        <v/>
      </c>
    </row>
    <row r="300" customFormat="false" ht="18" hidden="false" customHeight="true" outlineLevel="0" collapsed="false">
      <c r="A300" s="18" t="str">
        <f aca="false">IF(B300="","",ROW()-4)</f>
        <v/>
      </c>
      <c r="B300" s="43"/>
      <c r="C300" s="18" t="str">
        <f aca="false">IFERROR(INDEX('Player Board'!$G$5:$G$304,MATCH(B300,'Player Board'!$A$5:$A$304,0)),"")</f>
        <v/>
      </c>
      <c r="D300" s="43"/>
      <c r="E300" s="44"/>
      <c r="F300" s="44"/>
      <c r="G300" s="19" t="str">
        <f aca="false">IFERROR(INDEX('Player Board'!$R$5:$R$304,MATCH(B300,'Player Board'!$A$5:$A$304,0)),"")</f>
        <v/>
      </c>
      <c r="H300" s="19" t="str">
        <f aca="false">IF(E300="","",G300-E300)</f>
        <v/>
      </c>
      <c r="I300" s="43"/>
      <c r="J300" s="18" t="str">
        <f aca="false">IF(B300="","",IF(A300=MAX($A$5:$A$304),"LAST — CLEAR INPUTS TO UNDO",IF(AND(D300&lt;&gt;"",E300&lt;&gt;""),"LOGGED","INCOMPLETE")))</f>
        <v/>
      </c>
      <c r="K300" s="18" t="str">
        <f aca="false">IFERROR(INDEX('Player Board'!$AA$5:$AA$304,MATCH(B300,'Player Board'!$A$5:$A$304,0)),"")</f>
        <v/>
      </c>
    </row>
    <row r="301" customFormat="false" ht="18" hidden="false" customHeight="true" outlineLevel="0" collapsed="false">
      <c r="A301" s="18" t="str">
        <f aca="false">IF(B301="","",ROW()-4)</f>
        <v/>
      </c>
      <c r="B301" s="43"/>
      <c r="C301" s="18" t="str">
        <f aca="false">IFERROR(INDEX('Player Board'!$G$5:$G$304,MATCH(B301,'Player Board'!$A$5:$A$304,0)),"")</f>
        <v/>
      </c>
      <c r="D301" s="43"/>
      <c r="E301" s="44"/>
      <c r="F301" s="44"/>
      <c r="G301" s="19" t="str">
        <f aca="false">IFERROR(INDEX('Player Board'!$R$5:$R$304,MATCH(B301,'Player Board'!$A$5:$A$304,0)),"")</f>
        <v/>
      </c>
      <c r="H301" s="19" t="str">
        <f aca="false">IF(E301="","",G301-E301)</f>
        <v/>
      </c>
      <c r="I301" s="43"/>
      <c r="J301" s="18" t="str">
        <f aca="false">IF(B301="","",IF(A301=MAX($A$5:$A$304),"LAST — CLEAR INPUTS TO UNDO",IF(AND(D301&lt;&gt;"",E301&lt;&gt;""),"LOGGED","INCOMPLETE")))</f>
        <v/>
      </c>
      <c r="K301" s="18" t="str">
        <f aca="false">IFERROR(INDEX('Player Board'!$AA$5:$AA$304,MATCH(B301,'Player Board'!$A$5:$A$304,0)),"")</f>
        <v/>
      </c>
    </row>
    <row r="302" customFormat="false" ht="18" hidden="false" customHeight="true" outlineLevel="0" collapsed="false">
      <c r="A302" s="18" t="str">
        <f aca="false">IF(B302="","",ROW()-4)</f>
        <v/>
      </c>
      <c r="B302" s="43"/>
      <c r="C302" s="18" t="str">
        <f aca="false">IFERROR(INDEX('Player Board'!$G$5:$G$304,MATCH(B302,'Player Board'!$A$5:$A$304,0)),"")</f>
        <v/>
      </c>
      <c r="D302" s="43"/>
      <c r="E302" s="44"/>
      <c r="F302" s="44"/>
      <c r="G302" s="19" t="str">
        <f aca="false">IFERROR(INDEX('Player Board'!$R$5:$R$304,MATCH(B302,'Player Board'!$A$5:$A$304,0)),"")</f>
        <v/>
      </c>
      <c r="H302" s="19" t="str">
        <f aca="false">IF(E302="","",G302-E302)</f>
        <v/>
      </c>
      <c r="I302" s="43"/>
      <c r="J302" s="18" t="str">
        <f aca="false">IF(B302="","",IF(A302=MAX($A$5:$A$304),"LAST — CLEAR INPUTS TO UNDO",IF(AND(D302&lt;&gt;"",E302&lt;&gt;""),"LOGGED","INCOMPLETE")))</f>
        <v/>
      </c>
      <c r="K302" s="18" t="str">
        <f aca="false">IFERROR(INDEX('Player Board'!$AA$5:$AA$304,MATCH(B302,'Player Board'!$A$5:$A$304,0)),"")</f>
        <v/>
      </c>
    </row>
    <row r="303" customFormat="false" ht="18" hidden="false" customHeight="true" outlineLevel="0" collapsed="false">
      <c r="A303" s="18" t="str">
        <f aca="false">IF(B303="","",ROW()-4)</f>
        <v/>
      </c>
      <c r="B303" s="43"/>
      <c r="C303" s="18" t="str">
        <f aca="false">IFERROR(INDEX('Player Board'!$G$5:$G$304,MATCH(B303,'Player Board'!$A$5:$A$304,0)),"")</f>
        <v/>
      </c>
      <c r="D303" s="43"/>
      <c r="E303" s="44"/>
      <c r="F303" s="44"/>
      <c r="G303" s="19" t="str">
        <f aca="false">IFERROR(INDEX('Player Board'!$R$5:$R$304,MATCH(B303,'Player Board'!$A$5:$A$304,0)),"")</f>
        <v/>
      </c>
      <c r="H303" s="19" t="str">
        <f aca="false">IF(E303="","",G303-E303)</f>
        <v/>
      </c>
      <c r="I303" s="43"/>
      <c r="J303" s="18" t="str">
        <f aca="false">IF(B303="","",IF(A303=MAX($A$5:$A$304),"LAST — CLEAR INPUTS TO UNDO",IF(AND(D303&lt;&gt;"",E303&lt;&gt;""),"LOGGED","INCOMPLETE")))</f>
        <v/>
      </c>
      <c r="K303" s="18" t="str">
        <f aca="false">IFERROR(INDEX('Player Board'!$AA$5:$AA$304,MATCH(B303,'Player Board'!$A$5:$A$304,0)),"")</f>
        <v/>
      </c>
    </row>
    <row r="304" customFormat="false" ht="18" hidden="false" customHeight="true" outlineLevel="0" collapsed="false">
      <c r="A304" s="37" t="str">
        <f aca="false">IF(B304="","",ROW()-4)</f>
        <v/>
      </c>
      <c r="B304" s="45"/>
      <c r="C304" s="37" t="str">
        <f aca="false">IFERROR(INDEX('Player Board'!$G$5:$G$304,MATCH(B304,'Player Board'!$A$5:$A$304,0)),"")</f>
        <v/>
      </c>
      <c r="D304" s="45"/>
      <c r="E304" s="46"/>
      <c r="F304" s="46"/>
      <c r="G304" s="38" t="str">
        <f aca="false">IFERROR(INDEX('Player Board'!$R$5:$R$304,MATCH(B304,'Player Board'!$A$5:$A$304,0)),"")</f>
        <v/>
      </c>
      <c r="H304" s="38" t="str">
        <f aca="false">IF(E304="","",G304-E304)</f>
        <v/>
      </c>
      <c r="I304" s="45"/>
      <c r="J304" s="37" t="str">
        <f aca="false">IF(B304="","",IF(A304=MAX($A$5:$A$304),"LAST — CLEAR INPUTS TO UNDO",IF(AND(D304&lt;&gt;"",E304&lt;&gt;""),"LOGGED","INCOMPLETE")))</f>
        <v/>
      </c>
      <c r="K304" s="37" t="str">
        <f aca="false">IFERROR(INDEX('Player Board'!$AA$5:$AA$304,MATCH(B304,'Player Board'!$A$5:$A$304,0)),"")</f>
        <v/>
      </c>
    </row>
  </sheetData>
  <mergeCells count="2">
    <mergeCell ref="A1:K1"/>
    <mergeCell ref="A2:K2"/>
  </mergeCells>
  <conditionalFormatting sqref="H5:H304">
    <cfRule type="cellIs" priority="2" operator="greaterThan" aboveAverage="0" equalAverage="0" bottom="0" percent="0" rank="0" text="" dxfId="84">
      <formula>0</formula>
    </cfRule>
    <cfRule type="cellIs" priority="3" operator="lessThan" aboveAverage="0" equalAverage="0" bottom="0" percent="0" rank="0" text="" dxfId="85">
      <formula>0</formula>
    </cfRule>
  </conditionalFormatting>
  <conditionalFormatting sqref="J5:J304">
    <cfRule type="containsText" priority="4" operator="containsText" aboveAverage="0" equalAverage="0" bottom="0" percent="0" rank="0" text="LAST" dxfId="86">
      <formula>NOT(ISERROR(SEARCH("LAST",J5)))</formula>
    </cfRule>
    <cfRule type="containsText" priority="5" operator="containsText" aboveAverage="0" equalAverage="0" bottom="0" percent="0" rank="0" text="INCOMPLETE" dxfId="87">
      <formula>NOT(ISERROR(SEARCH("INCOMPLETE",J5)))</formula>
    </cfRule>
  </conditionalFormatting>
  <conditionalFormatting sqref="B5:F304">
    <cfRule type="expression" priority="6" aboveAverage="0" equalAverage="0" bottom="0" percent="0" rank="0" text="" dxfId="88">
      <formula>AND($B5="",ROW()=COUNTIF($B$5:$B$304,"&lt;&gt;")+5)</formula>
    </cfRule>
  </conditionalFormatting>
  <conditionalFormatting sqref="A5:I304">
    <cfRule type="expression" priority="7" aboveAverage="0" equalAverage="0" bottom="0" percent="0" rank="0" text="" dxfId="89">
      <formula>AND($B5="",COUNTBLANK($B$5:$B5)=1)</formula>
    </cfRule>
  </conditionalFormatting>
  <conditionalFormatting sqref="E5:E304">
    <cfRule type="expression" priority="8" aboveAverage="0" equalAverage="0" bottom="0" percent="0" rank="0" text="" dxfId="90">
      <formula>AND($E5&lt;&gt;"",$G5&lt;&gt;"",$E5&gt;$G5)</formula>
    </cfRule>
  </conditionalFormatting>
  <dataValidations count="4">
    <dataValidation allowBlank="true" error="Use the dropdown so player lookups remain intact." errorStyle="stop" errorTitle="Select a valid player" operator="between" prompt="Choose the nominated or sold player from Player Board." promptTitle="Player selector" showDropDown="false" showErrorMessage="true" showInputMessage="true" sqref="B5:B304" type="list">
      <formula1>PlayerList</formula1>
      <formula2>0</formula2>
    </dataValidation>
    <dataValidation allowBlank="true" error="Choose ME or an opponent from the Team Tracker list." errorStyle="stop" errorTitle="Select a valid team" operator="between" prompt="Select the auction winner. Rename opponents on Team Tracker before the draft." promptTitle="Winning team" showDropDown="false" showErrorMessage="true" showInputMessage="true" sqref="D5:D304" type="list">
      <formula1>TeamList</formula1>
      <formula2>0</formula2>
    </dataValidation>
    <dataValidation allowBlank="true" error="Enter a whole-dollar amount from $1 to $200." errorStyle="stop" errorTitle="Invalid price" operator="between" showDropDown="false" showErrorMessage="true" showInputMessage="false" sqref="E5:E304" type="whole">
      <formula1>1</formula1>
      <formula2>200</formula2>
    </dataValidation>
    <dataValidation allowBlank="true" error="Choose a roster slot from the dropdown." errorStyle="stop" errorTitle="Invalid roster slot" operator="between" showDropDown="false" showErrorMessage="true" showInputMessage="false" sqref="F5:F304" type="list">
      <formula1>"QB,RB1,RB2,WR1,WR2,TE,FLEX,D/ST,K,BE1,BE2,BE3,BE4,BE5,BE6"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97F3AEFB-BCCF-4BBA-A5D5-25C75A55164C}">
            <xm:f>AND($D5="ME",$E5&lt;&gt;"",$E5&gt;'Draft HQ'!$B$10)</xm:f>
            <x14:dxf>
              <fill>
                <patternFill>
                  <bgColor rgb="FFF4CCCC"/>
                </patternFill>
              </fill>
            </x14:dxf>
          </x14:cfRule>
          <xm:sqref>E5:E304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11" min="8" style="1" width="7"/>
    <col collapsed="false" customWidth="true" hidden="false" outlineLevel="0" max="12" min="12" style="1" width="8"/>
    <col collapsed="false" customWidth="true" hidden="false" outlineLevel="0" max="13" min="13" style="1" width="7"/>
    <col collapsed="false" customWidth="true" hidden="false" outlineLevel="0" max="14" min="14" style="1" width="14"/>
    <col collapsed="false" customWidth="true" hidden="false" outlineLevel="0" max="15" min="15" style="1" width="11"/>
  </cols>
  <sheetData>
    <row r="1" customFormat="false" ht="30" hidden="false" customHeight="true" outlineLevel="0" collapsed="false">
      <c r="A1" s="2" t="s">
        <v>469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470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7.75" hidden="false" customHeight="true" outlineLevel="0" collapsed="false">
      <c r="A4" s="10" t="s">
        <v>12</v>
      </c>
      <c r="B4" s="10" t="s">
        <v>471</v>
      </c>
      <c r="C4" s="10" t="s">
        <v>472</v>
      </c>
      <c r="D4" s="10" t="s">
        <v>473</v>
      </c>
      <c r="E4" s="10" t="s">
        <v>474</v>
      </c>
      <c r="F4" s="10" t="s">
        <v>475</v>
      </c>
      <c r="G4" s="10" t="s">
        <v>476</v>
      </c>
      <c r="H4" s="10" t="s">
        <v>16</v>
      </c>
      <c r="I4" s="10" t="s">
        <v>21</v>
      </c>
      <c r="J4" s="10" t="s">
        <v>26</v>
      </c>
      <c r="K4" s="10" t="s">
        <v>30</v>
      </c>
      <c r="L4" s="10" t="s">
        <v>34</v>
      </c>
      <c r="M4" s="10" t="s">
        <v>37</v>
      </c>
      <c r="N4" s="10" t="s">
        <v>477</v>
      </c>
      <c r="O4" s="10" t="s">
        <v>478</v>
      </c>
    </row>
    <row r="5" customFormat="false" ht="15" hidden="false" customHeight="true" outlineLevel="0" collapsed="false">
      <c r="A5" s="41" t="s">
        <v>479</v>
      </c>
      <c r="B5" s="47" t="n">
        <v>200</v>
      </c>
      <c r="C5" s="47" t="n">
        <f aca="false">SUMIF('Auction Log'!$D$5:$D$304,A5,'Auction Log'!$E$5:$E$304)</f>
        <v>0</v>
      </c>
      <c r="D5" s="47" t="n">
        <f aca="false">B5-C5</f>
        <v>200</v>
      </c>
      <c r="E5" s="48" t="n">
        <f aca="false">COUNTIF('Auction Log'!$D$5:$D$304,A5)</f>
        <v>0</v>
      </c>
      <c r="F5" s="48" t="n">
        <f aca="false">15-E5</f>
        <v>15</v>
      </c>
      <c r="G5" s="47" t="n">
        <f aca="false">IF(F5=0,0,D5-F5+1)</f>
        <v>186</v>
      </c>
      <c r="H5" s="48" t="n">
        <f aca="false">COUNTIFS('Auction Log'!$D$5:$D$304,A5,'Auction Log'!$C$5:$C$304,H$4)</f>
        <v>0</v>
      </c>
      <c r="I5" s="48" t="n">
        <f aca="false">COUNTIFS('Auction Log'!$D$5:$D$304,A5,'Auction Log'!$C$5:$C$304,I$4)</f>
        <v>0</v>
      </c>
      <c r="J5" s="48" t="n">
        <f aca="false">COUNTIFS('Auction Log'!$D$5:$D$304,A5,'Auction Log'!$C$5:$C$304,J$4)</f>
        <v>0</v>
      </c>
      <c r="K5" s="48" t="n">
        <f aca="false">COUNTIFS('Auction Log'!$D$5:$D$304,A5,'Auction Log'!$C$5:$C$304,K$4)</f>
        <v>0</v>
      </c>
      <c r="L5" s="48" t="n">
        <f aca="false">COUNTIFS('Auction Log'!$D$5:$D$304,A5,'Auction Log'!$C$5:$C$304,L$4)</f>
        <v>0</v>
      </c>
      <c r="M5" s="48" t="n">
        <f aca="false">COUNTIFS('Auction Log'!$D$5:$D$304,A5,'Auction Log'!$C$5:$C$304,M$4)</f>
        <v>0</v>
      </c>
      <c r="N5" s="48" t="str">
        <f aca="false">IF(F5=0,"DONE",IF(I5&lt;5,"RB",IF(J5&lt;5,"WR",IF(K5&lt;1,"TE",IF(H5&lt;1,"QB",IF(L5&lt;1,"D/ST",IF(M5&lt;1,"K","BENCH")))))))</f>
        <v>RB</v>
      </c>
      <c r="O5" s="49" t="str">
        <f aca="false">IF(A5="ME","",COUNTIF($G$6:$G$18,"&gt;"&amp;G5)+1)</f>
        <v/>
      </c>
    </row>
    <row r="6" customFormat="false" ht="15" hidden="false" customHeight="true" outlineLevel="0" collapsed="false">
      <c r="A6" s="50" t="s">
        <v>480</v>
      </c>
      <c r="B6" s="19" t="n">
        <v>200</v>
      </c>
      <c r="C6" s="19" t="n">
        <f aca="false">SUMIF('Auction Log'!$D$5:$D$304,A6,'Auction Log'!$E$5:$E$304)</f>
        <v>0</v>
      </c>
      <c r="D6" s="19" t="n">
        <f aca="false">B6-C6</f>
        <v>200</v>
      </c>
      <c r="E6" s="18" t="n">
        <f aca="false">COUNTIF('Auction Log'!$D$5:$D$304,A6)</f>
        <v>0</v>
      </c>
      <c r="F6" s="18" t="n">
        <f aca="false">15-E6</f>
        <v>15</v>
      </c>
      <c r="G6" s="19" t="n">
        <f aca="false">IF(F6=0,0,D6-F6+1)</f>
        <v>186</v>
      </c>
      <c r="H6" s="18" t="n">
        <f aca="false">COUNTIFS('Auction Log'!$D$5:$D$304,A6,'Auction Log'!$C$5:$C$304,H$4)</f>
        <v>0</v>
      </c>
      <c r="I6" s="18" t="n">
        <f aca="false">COUNTIFS('Auction Log'!$D$5:$D$304,A6,'Auction Log'!$C$5:$C$304,I$4)</f>
        <v>0</v>
      </c>
      <c r="J6" s="18" t="n">
        <f aca="false">COUNTIFS('Auction Log'!$D$5:$D$304,A6,'Auction Log'!$C$5:$C$304,J$4)</f>
        <v>0</v>
      </c>
      <c r="K6" s="18" t="n">
        <f aca="false">COUNTIFS('Auction Log'!$D$5:$D$304,A6,'Auction Log'!$C$5:$C$304,K$4)</f>
        <v>0</v>
      </c>
      <c r="L6" s="18" t="n">
        <f aca="false">COUNTIFS('Auction Log'!$D$5:$D$304,A6,'Auction Log'!$C$5:$C$304,L$4)</f>
        <v>0</v>
      </c>
      <c r="M6" s="18" t="n">
        <f aca="false">COUNTIFS('Auction Log'!$D$5:$D$304,A6,'Auction Log'!$C$5:$C$304,M$4)</f>
        <v>0</v>
      </c>
      <c r="N6" s="18" t="str">
        <f aca="false">IF(F6=0,"DONE",IF(I6&lt;5,"RB",IF(J6&lt;5,"WR",IF(K6&lt;1,"TE",IF(H6&lt;1,"QB",IF(L6&lt;1,"D/ST",IF(M6&lt;1,"K","BENCH")))))))</f>
        <v>RB</v>
      </c>
      <c r="O6" s="51" t="n">
        <f aca="false">IF(A6="ME","",COUNTIF($G$6:$G$18,"&gt;"&amp;G6)+1)</f>
        <v>1</v>
      </c>
    </row>
    <row r="7" customFormat="false" ht="15" hidden="false" customHeight="true" outlineLevel="0" collapsed="false">
      <c r="A7" s="50" t="s">
        <v>481</v>
      </c>
      <c r="B7" s="19" t="n">
        <v>200</v>
      </c>
      <c r="C7" s="19" t="n">
        <f aca="false">SUMIF('Auction Log'!$D$5:$D$304,A7,'Auction Log'!$E$5:$E$304)</f>
        <v>0</v>
      </c>
      <c r="D7" s="19" t="n">
        <f aca="false">B7-C7</f>
        <v>200</v>
      </c>
      <c r="E7" s="18" t="n">
        <f aca="false">COUNTIF('Auction Log'!$D$5:$D$304,A7)</f>
        <v>0</v>
      </c>
      <c r="F7" s="18" t="n">
        <f aca="false">15-E7</f>
        <v>15</v>
      </c>
      <c r="G7" s="19" t="n">
        <f aca="false">IF(F7=0,0,D7-F7+1)</f>
        <v>186</v>
      </c>
      <c r="H7" s="18" t="n">
        <f aca="false">COUNTIFS('Auction Log'!$D$5:$D$304,A7,'Auction Log'!$C$5:$C$304,H$4)</f>
        <v>0</v>
      </c>
      <c r="I7" s="18" t="n">
        <f aca="false">COUNTIFS('Auction Log'!$D$5:$D$304,A7,'Auction Log'!$C$5:$C$304,I$4)</f>
        <v>0</v>
      </c>
      <c r="J7" s="18" t="n">
        <f aca="false">COUNTIFS('Auction Log'!$D$5:$D$304,A7,'Auction Log'!$C$5:$C$304,J$4)</f>
        <v>0</v>
      </c>
      <c r="K7" s="18" t="n">
        <f aca="false">COUNTIFS('Auction Log'!$D$5:$D$304,A7,'Auction Log'!$C$5:$C$304,K$4)</f>
        <v>0</v>
      </c>
      <c r="L7" s="18" t="n">
        <f aca="false">COUNTIFS('Auction Log'!$D$5:$D$304,A7,'Auction Log'!$C$5:$C$304,L$4)</f>
        <v>0</v>
      </c>
      <c r="M7" s="18" t="n">
        <f aca="false">COUNTIFS('Auction Log'!$D$5:$D$304,A7,'Auction Log'!$C$5:$C$304,M$4)</f>
        <v>0</v>
      </c>
      <c r="N7" s="18" t="str">
        <f aca="false">IF(F7=0,"DONE",IF(I7&lt;5,"RB",IF(J7&lt;5,"WR",IF(K7&lt;1,"TE",IF(H7&lt;1,"QB",IF(L7&lt;1,"D/ST",IF(M7&lt;1,"K","BENCH")))))))</f>
        <v>RB</v>
      </c>
      <c r="O7" s="51" t="n">
        <f aca="false">IF(A7="ME","",COUNTIF($G$6:$G$18,"&gt;"&amp;G7)+1)</f>
        <v>1</v>
      </c>
    </row>
    <row r="8" customFormat="false" ht="15" hidden="false" customHeight="true" outlineLevel="0" collapsed="false">
      <c r="A8" s="50" t="s">
        <v>482</v>
      </c>
      <c r="B8" s="19" t="n">
        <v>200</v>
      </c>
      <c r="C8" s="19" t="n">
        <f aca="false">SUMIF('Auction Log'!$D$5:$D$304,A8,'Auction Log'!$E$5:$E$304)</f>
        <v>0</v>
      </c>
      <c r="D8" s="19" t="n">
        <f aca="false">B8-C8</f>
        <v>200</v>
      </c>
      <c r="E8" s="18" t="n">
        <f aca="false">COUNTIF('Auction Log'!$D$5:$D$304,A8)</f>
        <v>0</v>
      </c>
      <c r="F8" s="18" t="n">
        <f aca="false">15-E8</f>
        <v>15</v>
      </c>
      <c r="G8" s="19" t="n">
        <f aca="false">IF(F8=0,0,D8-F8+1)</f>
        <v>186</v>
      </c>
      <c r="H8" s="18" t="n">
        <f aca="false">COUNTIFS('Auction Log'!$D$5:$D$304,A8,'Auction Log'!$C$5:$C$304,H$4)</f>
        <v>0</v>
      </c>
      <c r="I8" s="18" t="n">
        <f aca="false">COUNTIFS('Auction Log'!$D$5:$D$304,A8,'Auction Log'!$C$5:$C$304,I$4)</f>
        <v>0</v>
      </c>
      <c r="J8" s="18" t="n">
        <f aca="false">COUNTIFS('Auction Log'!$D$5:$D$304,A8,'Auction Log'!$C$5:$C$304,J$4)</f>
        <v>0</v>
      </c>
      <c r="K8" s="18" t="n">
        <f aca="false">COUNTIFS('Auction Log'!$D$5:$D$304,A8,'Auction Log'!$C$5:$C$304,K$4)</f>
        <v>0</v>
      </c>
      <c r="L8" s="18" t="n">
        <f aca="false">COUNTIFS('Auction Log'!$D$5:$D$304,A8,'Auction Log'!$C$5:$C$304,L$4)</f>
        <v>0</v>
      </c>
      <c r="M8" s="18" t="n">
        <f aca="false">COUNTIFS('Auction Log'!$D$5:$D$304,A8,'Auction Log'!$C$5:$C$304,M$4)</f>
        <v>0</v>
      </c>
      <c r="N8" s="18" t="str">
        <f aca="false">IF(F8=0,"DONE",IF(I8&lt;5,"RB",IF(J8&lt;5,"WR",IF(K8&lt;1,"TE",IF(H8&lt;1,"QB",IF(L8&lt;1,"D/ST",IF(M8&lt;1,"K","BENCH")))))))</f>
        <v>RB</v>
      </c>
      <c r="O8" s="51" t="n">
        <f aca="false">IF(A8="ME","",COUNTIF($G$6:$G$18,"&gt;"&amp;G8)+1)</f>
        <v>1</v>
      </c>
    </row>
    <row r="9" customFormat="false" ht="15" hidden="false" customHeight="true" outlineLevel="0" collapsed="false">
      <c r="A9" s="50" t="s">
        <v>483</v>
      </c>
      <c r="B9" s="19" t="n">
        <v>200</v>
      </c>
      <c r="C9" s="19" t="n">
        <f aca="false">SUMIF('Auction Log'!$D$5:$D$304,A9,'Auction Log'!$E$5:$E$304)</f>
        <v>0</v>
      </c>
      <c r="D9" s="19" t="n">
        <f aca="false">B9-C9</f>
        <v>200</v>
      </c>
      <c r="E9" s="18" t="n">
        <f aca="false">COUNTIF('Auction Log'!$D$5:$D$304,A9)</f>
        <v>0</v>
      </c>
      <c r="F9" s="18" t="n">
        <f aca="false">15-E9</f>
        <v>15</v>
      </c>
      <c r="G9" s="19" t="n">
        <f aca="false">IF(F9=0,0,D9-F9+1)</f>
        <v>186</v>
      </c>
      <c r="H9" s="18" t="n">
        <f aca="false">COUNTIFS('Auction Log'!$D$5:$D$304,A9,'Auction Log'!$C$5:$C$304,H$4)</f>
        <v>0</v>
      </c>
      <c r="I9" s="18" t="n">
        <f aca="false">COUNTIFS('Auction Log'!$D$5:$D$304,A9,'Auction Log'!$C$5:$C$304,I$4)</f>
        <v>0</v>
      </c>
      <c r="J9" s="18" t="n">
        <f aca="false">COUNTIFS('Auction Log'!$D$5:$D$304,A9,'Auction Log'!$C$5:$C$304,J$4)</f>
        <v>0</v>
      </c>
      <c r="K9" s="18" t="n">
        <f aca="false">COUNTIFS('Auction Log'!$D$5:$D$304,A9,'Auction Log'!$C$5:$C$304,K$4)</f>
        <v>0</v>
      </c>
      <c r="L9" s="18" t="n">
        <f aca="false">COUNTIFS('Auction Log'!$D$5:$D$304,A9,'Auction Log'!$C$5:$C$304,L$4)</f>
        <v>0</v>
      </c>
      <c r="M9" s="18" t="n">
        <f aca="false">COUNTIFS('Auction Log'!$D$5:$D$304,A9,'Auction Log'!$C$5:$C$304,M$4)</f>
        <v>0</v>
      </c>
      <c r="N9" s="18" t="str">
        <f aca="false">IF(F9=0,"DONE",IF(I9&lt;5,"RB",IF(J9&lt;5,"WR",IF(K9&lt;1,"TE",IF(H9&lt;1,"QB",IF(L9&lt;1,"D/ST",IF(M9&lt;1,"K","BENCH")))))))</f>
        <v>RB</v>
      </c>
      <c r="O9" s="51" t="n">
        <f aca="false">IF(A9="ME","",COUNTIF($G$6:$G$18,"&gt;"&amp;G9)+1)</f>
        <v>1</v>
      </c>
    </row>
    <row r="10" customFormat="false" ht="15" hidden="false" customHeight="true" outlineLevel="0" collapsed="false">
      <c r="A10" s="50" t="s">
        <v>484</v>
      </c>
      <c r="B10" s="19" t="n">
        <v>200</v>
      </c>
      <c r="C10" s="19" t="n">
        <f aca="false">SUMIF('Auction Log'!$D$5:$D$304,A10,'Auction Log'!$E$5:$E$304)</f>
        <v>0</v>
      </c>
      <c r="D10" s="19" t="n">
        <f aca="false">B10-C10</f>
        <v>200</v>
      </c>
      <c r="E10" s="18" t="n">
        <f aca="false">COUNTIF('Auction Log'!$D$5:$D$304,A10)</f>
        <v>0</v>
      </c>
      <c r="F10" s="18" t="n">
        <f aca="false">15-E10</f>
        <v>15</v>
      </c>
      <c r="G10" s="19" t="n">
        <f aca="false">IF(F10=0,0,D10-F10+1)</f>
        <v>186</v>
      </c>
      <c r="H10" s="18" t="n">
        <f aca="false">COUNTIFS('Auction Log'!$D$5:$D$304,A10,'Auction Log'!$C$5:$C$304,H$4)</f>
        <v>0</v>
      </c>
      <c r="I10" s="18" t="n">
        <f aca="false">COUNTIFS('Auction Log'!$D$5:$D$304,A10,'Auction Log'!$C$5:$C$304,I$4)</f>
        <v>0</v>
      </c>
      <c r="J10" s="18" t="n">
        <f aca="false">COUNTIFS('Auction Log'!$D$5:$D$304,A10,'Auction Log'!$C$5:$C$304,J$4)</f>
        <v>0</v>
      </c>
      <c r="K10" s="18" t="n">
        <f aca="false">COUNTIFS('Auction Log'!$D$5:$D$304,A10,'Auction Log'!$C$5:$C$304,K$4)</f>
        <v>0</v>
      </c>
      <c r="L10" s="18" t="n">
        <f aca="false">COUNTIFS('Auction Log'!$D$5:$D$304,A10,'Auction Log'!$C$5:$C$304,L$4)</f>
        <v>0</v>
      </c>
      <c r="M10" s="18" t="n">
        <f aca="false">COUNTIFS('Auction Log'!$D$5:$D$304,A10,'Auction Log'!$C$5:$C$304,M$4)</f>
        <v>0</v>
      </c>
      <c r="N10" s="18" t="str">
        <f aca="false">IF(F10=0,"DONE",IF(I10&lt;5,"RB",IF(J10&lt;5,"WR",IF(K10&lt;1,"TE",IF(H10&lt;1,"QB",IF(L10&lt;1,"D/ST",IF(M10&lt;1,"K","BENCH")))))))</f>
        <v>RB</v>
      </c>
      <c r="O10" s="51" t="n">
        <f aca="false">IF(A10="ME","",COUNTIF($G$6:$G$18,"&gt;"&amp;G10)+1)</f>
        <v>1</v>
      </c>
    </row>
    <row r="11" customFormat="false" ht="15" hidden="false" customHeight="true" outlineLevel="0" collapsed="false">
      <c r="A11" s="50" t="s">
        <v>485</v>
      </c>
      <c r="B11" s="19" t="n">
        <v>200</v>
      </c>
      <c r="C11" s="19" t="n">
        <f aca="false">SUMIF('Auction Log'!$D$5:$D$304,A11,'Auction Log'!$E$5:$E$304)</f>
        <v>0</v>
      </c>
      <c r="D11" s="19" t="n">
        <f aca="false">B11-C11</f>
        <v>200</v>
      </c>
      <c r="E11" s="18" t="n">
        <f aca="false">COUNTIF('Auction Log'!$D$5:$D$304,A11)</f>
        <v>0</v>
      </c>
      <c r="F11" s="18" t="n">
        <f aca="false">15-E11</f>
        <v>15</v>
      </c>
      <c r="G11" s="19" t="n">
        <f aca="false">IF(F11=0,0,D11-F11+1)</f>
        <v>186</v>
      </c>
      <c r="H11" s="18" t="n">
        <f aca="false">COUNTIFS('Auction Log'!$D$5:$D$304,A11,'Auction Log'!$C$5:$C$304,H$4)</f>
        <v>0</v>
      </c>
      <c r="I11" s="18" t="n">
        <f aca="false">COUNTIFS('Auction Log'!$D$5:$D$304,A11,'Auction Log'!$C$5:$C$304,I$4)</f>
        <v>0</v>
      </c>
      <c r="J11" s="18" t="n">
        <f aca="false">COUNTIFS('Auction Log'!$D$5:$D$304,A11,'Auction Log'!$C$5:$C$304,J$4)</f>
        <v>0</v>
      </c>
      <c r="K11" s="18" t="n">
        <f aca="false">COUNTIFS('Auction Log'!$D$5:$D$304,A11,'Auction Log'!$C$5:$C$304,K$4)</f>
        <v>0</v>
      </c>
      <c r="L11" s="18" t="n">
        <f aca="false">COUNTIFS('Auction Log'!$D$5:$D$304,A11,'Auction Log'!$C$5:$C$304,L$4)</f>
        <v>0</v>
      </c>
      <c r="M11" s="18" t="n">
        <f aca="false">COUNTIFS('Auction Log'!$D$5:$D$304,A11,'Auction Log'!$C$5:$C$304,M$4)</f>
        <v>0</v>
      </c>
      <c r="N11" s="18" t="str">
        <f aca="false">IF(F11=0,"DONE",IF(I11&lt;5,"RB",IF(J11&lt;5,"WR",IF(K11&lt;1,"TE",IF(H11&lt;1,"QB",IF(L11&lt;1,"D/ST",IF(M11&lt;1,"K","BENCH")))))))</f>
        <v>RB</v>
      </c>
      <c r="O11" s="51" t="n">
        <f aca="false">IF(A11="ME","",COUNTIF($G$6:$G$18,"&gt;"&amp;G11)+1)</f>
        <v>1</v>
      </c>
    </row>
    <row r="12" customFormat="false" ht="15" hidden="false" customHeight="true" outlineLevel="0" collapsed="false">
      <c r="A12" s="50" t="s">
        <v>486</v>
      </c>
      <c r="B12" s="19" t="n">
        <v>200</v>
      </c>
      <c r="C12" s="19" t="n">
        <f aca="false">SUMIF('Auction Log'!$D$5:$D$304,A12,'Auction Log'!$E$5:$E$304)</f>
        <v>0</v>
      </c>
      <c r="D12" s="19" t="n">
        <f aca="false">B12-C12</f>
        <v>200</v>
      </c>
      <c r="E12" s="18" t="n">
        <f aca="false">COUNTIF('Auction Log'!$D$5:$D$304,A12)</f>
        <v>0</v>
      </c>
      <c r="F12" s="18" t="n">
        <f aca="false">15-E12</f>
        <v>15</v>
      </c>
      <c r="G12" s="19" t="n">
        <f aca="false">IF(F12=0,0,D12-F12+1)</f>
        <v>186</v>
      </c>
      <c r="H12" s="18" t="n">
        <f aca="false">COUNTIFS('Auction Log'!$D$5:$D$304,A12,'Auction Log'!$C$5:$C$304,H$4)</f>
        <v>0</v>
      </c>
      <c r="I12" s="18" t="n">
        <f aca="false">COUNTIFS('Auction Log'!$D$5:$D$304,A12,'Auction Log'!$C$5:$C$304,I$4)</f>
        <v>0</v>
      </c>
      <c r="J12" s="18" t="n">
        <f aca="false">COUNTIFS('Auction Log'!$D$5:$D$304,A12,'Auction Log'!$C$5:$C$304,J$4)</f>
        <v>0</v>
      </c>
      <c r="K12" s="18" t="n">
        <f aca="false">COUNTIFS('Auction Log'!$D$5:$D$304,A12,'Auction Log'!$C$5:$C$304,K$4)</f>
        <v>0</v>
      </c>
      <c r="L12" s="18" t="n">
        <f aca="false">COUNTIFS('Auction Log'!$D$5:$D$304,A12,'Auction Log'!$C$5:$C$304,L$4)</f>
        <v>0</v>
      </c>
      <c r="M12" s="18" t="n">
        <f aca="false">COUNTIFS('Auction Log'!$D$5:$D$304,A12,'Auction Log'!$C$5:$C$304,M$4)</f>
        <v>0</v>
      </c>
      <c r="N12" s="18" t="str">
        <f aca="false">IF(F12=0,"DONE",IF(I12&lt;5,"RB",IF(J12&lt;5,"WR",IF(K12&lt;1,"TE",IF(H12&lt;1,"QB",IF(L12&lt;1,"D/ST",IF(M12&lt;1,"K","BENCH")))))))</f>
        <v>RB</v>
      </c>
      <c r="O12" s="51" t="n">
        <f aca="false">IF(A12="ME","",COUNTIF($G$6:$G$18,"&gt;"&amp;G12)+1)</f>
        <v>1</v>
      </c>
    </row>
    <row r="13" customFormat="false" ht="15" hidden="false" customHeight="true" outlineLevel="0" collapsed="false">
      <c r="A13" s="50" t="s">
        <v>487</v>
      </c>
      <c r="B13" s="19" t="n">
        <v>200</v>
      </c>
      <c r="C13" s="19" t="n">
        <f aca="false">SUMIF('Auction Log'!$D$5:$D$304,A13,'Auction Log'!$E$5:$E$304)</f>
        <v>0</v>
      </c>
      <c r="D13" s="19" t="n">
        <f aca="false">B13-C13</f>
        <v>200</v>
      </c>
      <c r="E13" s="18" t="n">
        <f aca="false">COUNTIF('Auction Log'!$D$5:$D$304,A13)</f>
        <v>0</v>
      </c>
      <c r="F13" s="18" t="n">
        <f aca="false">15-E13</f>
        <v>15</v>
      </c>
      <c r="G13" s="19" t="n">
        <f aca="false">IF(F13=0,0,D13-F13+1)</f>
        <v>186</v>
      </c>
      <c r="H13" s="18" t="n">
        <f aca="false">COUNTIFS('Auction Log'!$D$5:$D$304,A13,'Auction Log'!$C$5:$C$304,H$4)</f>
        <v>0</v>
      </c>
      <c r="I13" s="18" t="n">
        <f aca="false">COUNTIFS('Auction Log'!$D$5:$D$304,A13,'Auction Log'!$C$5:$C$304,I$4)</f>
        <v>0</v>
      </c>
      <c r="J13" s="18" t="n">
        <f aca="false">COUNTIFS('Auction Log'!$D$5:$D$304,A13,'Auction Log'!$C$5:$C$304,J$4)</f>
        <v>0</v>
      </c>
      <c r="K13" s="18" t="n">
        <f aca="false">COUNTIFS('Auction Log'!$D$5:$D$304,A13,'Auction Log'!$C$5:$C$304,K$4)</f>
        <v>0</v>
      </c>
      <c r="L13" s="18" t="n">
        <f aca="false">COUNTIFS('Auction Log'!$D$5:$D$304,A13,'Auction Log'!$C$5:$C$304,L$4)</f>
        <v>0</v>
      </c>
      <c r="M13" s="18" t="n">
        <f aca="false">COUNTIFS('Auction Log'!$D$5:$D$304,A13,'Auction Log'!$C$5:$C$304,M$4)</f>
        <v>0</v>
      </c>
      <c r="N13" s="18" t="str">
        <f aca="false">IF(F13=0,"DONE",IF(I13&lt;5,"RB",IF(J13&lt;5,"WR",IF(K13&lt;1,"TE",IF(H13&lt;1,"QB",IF(L13&lt;1,"D/ST",IF(M13&lt;1,"K","BENCH")))))))</f>
        <v>RB</v>
      </c>
      <c r="O13" s="51" t="n">
        <f aca="false">IF(A13="ME","",COUNTIF($G$6:$G$18,"&gt;"&amp;G13)+1)</f>
        <v>1</v>
      </c>
    </row>
    <row r="14" customFormat="false" ht="15" hidden="false" customHeight="true" outlineLevel="0" collapsed="false">
      <c r="A14" s="50" t="s">
        <v>488</v>
      </c>
      <c r="B14" s="19" t="n">
        <v>200</v>
      </c>
      <c r="C14" s="19" t="n">
        <f aca="false">SUMIF('Auction Log'!$D$5:$D$304,A14,'Auction Log'!$E$5:$E$304)</f>
        <v>0</v>
      </c>
      <c r="D14" s="19" t="n">
        <f aca="false">B14-C14</f>
        <v>200</v>
      </c>
      <c r="E14" s="18" t="n">
        <f aca="false">COUNTIF('Auction Log'!$D$5:$D$304,A14)</f>
        <v>0</v>
      </c>
      <c r="F14" s="18" t="n">
        <f aca="false">15-E14</f>
        <v>15</v>
      </c>
      <c r="G14" s="19" t="n">
        <f aca="false">IF(F14=0,0,D14-F14+1)</f>
        <v>186</v>
      </c>
      <c r="H14" s="18" t="n">
        <f aca="false">COUNTIFS('Auction Log'!$D$5:$D$304,A14,'Auction Log'!$C$5:$C$304,H$4)</f>
        <v>0</v>
      </c>
      <c r="I14" s="18" t="n">
        <f aca="false">COUNTIFS('Auction Log'!$D$5:$D$304,A14,'Auction Log'!$C$5:$C$304,I$4)</f>
        <v>0</v>
      </c>
      <c r="J14" s="18" t="n">
        <f aca="false">COUNTIFS('Auction Log'!$D$5:$D$304,A14,'Auction Log'!$C$5:$C$304,J$4)</f>
        <v>0</v>
      </c>
      <c r="K14" s="18" t="n">
        <f aca="false">COUNTIFS('Auction Log'!$D$5:$D$304,A14,'Auction Log'!$C$5:$C$304,K$4)</f>
        <v>0</v>
      </c>
      <c r="L14" s="18" t="n">
        <f aca="false">COUNTIFS('Auction Log'!$D$5:$D$304,A14,'Auction Log'!$C$5:$C$304,L$4)</f>
        <v>0</v>
      </c>
      <c r="M14" s="18" t="n">
        <f aca="false">COUNTIFS('Auction Log'!$D$5:$D$304,A14,'Auction Log'!$C$5:$C$304,M$4)</f>
        <v>0</v>
      </c>
      <c r="N14" s="18" t="str">
        <f aca="false">IF(F14=0,"DONE",IF(I14&lt;5,"RB",IF(J14&lt;5,"WR",IF(K14&lt;1,"TE",IF(H14&lt;1,"QB",IF(L14&lt;1,"D/ST",IF(M14&lt;1,"K","BENCH")))))))</f>
        <v>RB</v>
      </c>
      <c r="O14" s="51" t="n">
        <f aca="false">IF(A14="ME","",COUNTIF($G$6:$G$18,"&gt;"&amp;G14)+1)</f>
        <v>1</v>
      </c>
    </row>
    <row r="15" customFormat="false" ht="15" hidden="false" customHeight="true" outlineLevel="0" collapsed="false">
      <c r="A15" s="50" t="s">
        <v>489</v>
      </c>
      <c r="B15" s="19" t="n">
        <v>200</v>
      </c>
      <c r="C15" s="19" t="n">
        <f aca="false">SUMIF('Auction Log'!$D$5:$D$304,A15,'Auction Log'!$E$5:$E$304)</f>
        <v>0</v>
      </c>
      <c r="D15" s="19" t="n">
        <f aca="false">B15-C15</f>
        <v>200</v>
      </c>
      <c r="E15" s="18" t="n">
        <f aca="false">COUNTIF('Auction Log'!$D$5:$D$304,A15)</f>
        <v>0</v>
      </c>
      <c r="F15" s="18" t="n">
        <f aca="false">15-E15</f>
        <v>15</v>
      </c>
      <c r="G15" s="19" t="n">
        <f aca="false">IF(F15=0,0,D15-F15+1)</f>
        <v>186</v>
      </c>
      <c r="H15" s="18" t="n">
        <f aca="false">COUNTIFS('Auction Log'!$D$5:$D$304,A15,'Auction Log'!$C$5:$C$304,H$4)</f>
        <v>0</v>
      </c>
      <c r="I15" s="18" t="n">
        <f aca="false">COUNTIFS('Auction Log'!$D$5:$D$304,A15,'Auction Log'!$C$5:$C$304,I$4)</f>
        <v>0</v>
      </c>
      <c r="J15" s="18" t="n">
        <f aca="false">COUNTIFS('Auction Log'!$D$5:$D$304,A15,'Auction Log'!$C$5:$C$304,J$4)</f>
        <v>0</v>
      </c>
      <c r="K15" s="18" t="n">
        <f aca="false">COUNTIFS('Auction Log'!$D$5:$D$304,A15,'Auction Log'!$C$5:$C$304,K$4)</f>
        <v>0</v>
      </c>
      <c r="L15" s="18" t="n">
        <f aca="false">COUNTIFS('Auction Log'!$D$5:$D$304,A15,'Auction Log'!$C$5:$C$304,L$4)</f>
        <v>0</v>
      </c>
      <c r="M15" s="18" t="n">
        <f aca="false">COUNTIFS('Auction Log'!$D$5:$D$304,A15,'Auction Log'!$C$5:$C$304,M$4)</f>
        <v>0</v>
      </c>
      <c r="N15" s="18" t="str">
        <f aca="false">IF(F15=0,"DONE",IF(I15&lt;5,"RB",IF(J15&lt;5,"WR",IF(K15&lt;1,"TE",IF(H15&lt;1,"QB",IF(L15&lt;1,"D/ST",IF(M15&lt;1,"K","BENCH")))))))</f>
        <v>RB</v>
      </c>
      <c r="O15" s="51" t="n">
        <f aca="false">IF(A15="ME","",COUNTIF($G$6:$G$18,"&gt;"&amp;G15)+1)</f>
        <v>1</v>
      </c>
    </row>
    <row r="16" customFormat="false" ht="15" hidden="false" customHeight="true" outlineLevel="0" collapsed="false">
      <c r="A16" s="50" t="s">
        <v>490</v>
      </c>
      <c r="B16" s="19" t="n">
        <v>200</v>
      </c>
      <c r="C16" s="19" t="n">
        <f aca="false">SUMIF('Auction Log'!$D$5:$D$304,A16,'Auction Log'!$E$5:$E$304)</f>
        <v>0</v>
      </c>
      <c r="D16" s="19" t="n">
        <f aca="false">B16-C16</f>
        <v>200</v>
      </c>
      <c r="E16" s="18" t="n">
        <f aca="false">COUNTIF('Auction Log'!$D$5:$D$304,A16)</f>
        <v>0</v>
      </c>
      <c r="F16" s="18" t="n">
        <f aca="false">15-E16</f>
        <v>15</v>
      </c>
      <c r="G16" s="19" t="n">
        <f aca="false">IF(F16=0,0,D16-F16+1)</f>
        <v>186</v>
      </c>
      <c r="H16" s="18" t="n">
        <f aca="false">COUNTIFS('Auction Log'!$D$5:$D$304,A16,'Auction Log'!$C$5:$C$304,H$4)</f>
        <v>0</v>
      </c>
      <c r="I16" s="18" t="n">
        <f aca="false">COUNTIFS('Auction Log'!$D$5:$D$304,A16,'Auction Log'!$C$5:$C$304,I$4)</f>
        <v>0</v>
      </c>
      <c r="J16" s="18" t="n">
        <f aca="false">COUNTIFS('Auction Log'!$D$5:$D$304,A16,'Auction Log'!$C$5:$C$304,J$4)</f>
        <v>0</v>
      </c>
      <c r="K16" s="18" t="n">
        <f aca="false">COUNTIFS('Auction Log'!$D$5:$D$304,A16,'Auction Log'!$C$5:$C$304,K$4)</f>
        <v>0</v>
      </c>
      <c r="L16" s="18" t="n">
        <f aca="false">COUNTIFS('Auction Log'!$D$5:$D$304,A16,'Auction Log'!$C$5:$C$304,L$4)</f>
        <v>0</v>
      </c>
      <c r="M16" s="18" t="n">
        <f aca="false">COUNTIFS('Auction Log'!$D$5:$D$304,A16,'Auction Log'!$C$5:$C$304,M$4)</f>
        <v>0</v>
      </c>
      <c r="N16" s="18" t="str">
        <f aca="false">IF(F16=0,"DONE",IF(I16&lt;5,"RB",IF(J16&lt;5,"WR",IF(K16&lt;1,"TE",IF(H16&lt;1,"QB",IF(L16&lt;1,"D/ST",IF(M16&lt;1,"K","BENCH")))))))</f>
        <v>RB</v>
      </c>
      <c r="O16" s="51" t="n">
        <f aca="false">IF(A16="ME","",COUNTIF($G$6:$G$18,"&gt;"&amp;G16)+1)</f>
        <v>1</v>
      </c>
    </row>
    <row r="17" customFormat="false" ht="15" hidden="false" customHeight="true" outlineLevel="0" collapsed="false">
      <c r="A17" s="50" t="s">
        <v>491</v>
      </c>
      <c r="B17" s="19" t="n">
        <v>200</v>
      </c>
      <c r="C17" s="19" t="n">
        <f aca="false">SUMIF('Auction Log'!$D$5:$D$304,A17,'Auction Log'!$E$5:$E$304)</f>
        <v>0</v>
      </c>
      <c r="D17" s="19" t="n">
        <f aca="false">B17-C17</f>
        <v>200</v>
      </c>
      <c r="E17" s="18" t="n">
        <f aca="false">COUNTIF('Auction Log'!$D$5:$D$304,A17)</f>
        <v>0</v>
      </c>
      <c r="F17" s="18" t="n">
        <f aca="false">15-E17</f>
        <v>15</v>
      </c>
      <c r="G17" s="19" t="n">
        <f aca="false">IF(F17=0,0,D17-F17+1)</f>
        <v>186</v>
      </c>
      <c r="H17" s="18" t="n">
        <f aca="false">COUNTIFS('Auction Log'!$D$5:$D$304,A17,'Auction Log'!$C$5:$C$304,H$4)</f>
        <v>0</v>
      </c>
      <c r="I17" s="18" t="n">
        <f aca="false">COUNTIFS('Auction Log'!$D$5:$D$304,A17,'Auction Log'!$C$5:$C$304,I$4)</f>
        <v>0</v>
      </c>
      <c r="J17" s="18" t="n">
        <f aca="false">COUNTIFS('Auction Log'!$D$5:$D$304,A17,'Auction Log'!$C$5:$C$304,J$4)</f>
        <v>0</v>
      </c>
      <c r="K17" s="18" t="n">
        <f aca="false">COUNTIFS('Auction Log'!$D$5:$D$304,A17,'Auction Log'!$C$5:$C$304,K$4)</f>
        <v>0</v>
      </c>
      <c r="L17" s="18" t="n">
        <f aca="false">COUNTIFS('Auction Log'!$D$5:$D$304,A17,'Auction Log'!$C$5:$C$304,L$4)</f>
        <v>0</v>
      </c>
      <c r="M17" s="18" t="n">
        <f aca="false">COUNTIFS('Auction Log'!$D$5:$D$304,A17,'Auction Log'!$C$5:$C$304,M$4)</f>
        <v>0</v>
      </c>
      <c r="N17" s="18" t="str">
        <f aca="false">IF(F17=0,"DONE",IF(I17&lt;5,"RB",IF(J17&lt;5,"WR",IF(K17&lt;1,"TE",IF(H17&lt;1,"QB",IF(L17&lt;1,"D/ST",IF(M17&lt;1,"K","BENCH")))))))</f>
        <v>RB</v>
      </c>
      <c r="O17" s="51" t="n">
        <f aca="false">IF(A17="ME","",COUNTIF($G$6:$G$18,"&gt;"&amp;G17)+1)</f>
        <v>1</v>
      </c>
    </row>
    <row r="18" customFormat="false" ht="15" hidden="false" customHeight="true" outlineLevel="0" collapsed="false">
      <c r="A18" s="52" t="s">
        <v>492</v>
      </c>
      <c r="B18" s="53" t="n">
        <v>200</v>
      </c>
      <c r="C18" s="53" t="n">
        <f aca="false">SUMIF('Auction Log'!$D$5:$D$304,A18,'Auction Log'!$E$5:$E$304)</f>
        <v>0</v>
      </c>
      <c r="D18" s="53" t="n">
        <f aca="false">B18-C18</f>
        <v>200</v>
      </c>
      <c r="E18" s="54" t="n">
        <f aca="false">COUNTIF('Auction Log'!$D$5:$D$304,A18)</f>
        <v>0</v>
      </c>
      <c r="F18" s="54" t="n">
        <f aca="false">15-E18</f>
        <v>15</v>
      </c>
      <c r="G18" s="53" t="n">
        <f aca="false">IF(F18=0,0,D18-F18+1)</f>
        <v>186</v>
      </c>
      <c r="H18" s="54" t="n">
        <f aca="false">COUNTIFS('Auction Log'!$D$5:$D$304,A18,'Auction Log'!$C$5:$C$304,H$4)</f>
        <v>0</v>
      </c>
      <c r="I18" s="54" t="n">
        <f aca="false">COUNTIFS('Auction Log'!$D$5:$D$304,A18,'Auction Log'!$C$5:$C$304,I$4)</f>
        <v>0</v>
      </c>
      <c r="J18" s="54" t="n">
        <f aca="false">COUNTIFS('Auction Log'!$D$5:$D$304,A18,'Auction Log'!$C$5:$C$304,J$4)</f>
        <v>0</v>
      </c>
      <c r="K18" s="54" t="n">
        <f aca="false">COUNTIFS('Auction Log'!$D$5:$D$304,A18,'Auction Log'!$C$5:$C$304,K$4)</f>
        <v>0</v>
      </c>
      <c r="L18" s="54" t="n">
        <f aca="false">COUNTIFS('Auction Log'!$D$5:$D$304,A18,'Auction Log'!$C$5:$C$304,L$4)</f>
        <v>0</v>
      </c>
      <c r="M18" s="54" t="n">
        <f aca="false">COUNTIFS('Auction Log'!$D$5:$D$304,A18,'Auction Log'!$C$5:$C$304,M$4)</f>
        <v>0</v>
      </c>
      <c r="N18" s="54" t="str">
        <f aca="false">IF(F18=0,"DONE",IF(I18&lt;5,"RB",IF(J18&lt;5,"WR",IF(K18&lt;1,"TE",IF(H18&lt;1,"QB",IF(L18&lt;1,"D/ST",IF(M18&lt;1,"K","BENCH")))))))</f>
        <v>RB</v>
      </c>
      <c r="O18" s="55" t="n">
        <f aca="false">IF(A18="ME","",COUNTIF($G$6:$G$18,"&gt;"&amp;G18)+1)</f>
        <v>1</v>
      </c>
    </row>
  </sheetData>
  <mergeCells count="2">
    <mergeCell ref="A1:O1"/>
    <mergeCell ref="A2:O2"/>
  </mergeCells>
  <conditionalFormatting sqref="D5:D18">
    <cfRule type="dataBar" priority="2">
      <dataBar showValue="1" minLength="10" maxLength="90">
        <cfvo type="min" val="0"/>
        <cfvo type="max" val="0"/>
        <color rgb="FF39FF4A"/>
      </dataBar>
      <extLst>
        <ext xmlns:x14="http://schemas.microsoft.com/office/spreadsheetml/2009/9/main" uri="{B025F937-C7B1-47D3-B67F-A62EFF666E3E}">
          <x14:id>{D0DF6A33-E415-43D0-A78C-2AAF71DAED2E}</x14:id>
        </ext>
      </extLst>
    </cfRule>
    <cfRule type="dataBar" priority="3">
      <dataBar showValue="1" minLength="10" maxLength="90">
        <cfvo type="min" val="0"/>
        <cfvo type="max" val="0"/>
        <color rgb="FF39FF4A"/>
      </dataBar>
      <extLst>
        <ext xmlns:x14="http://schemas.microsoft.com/office/spreadsheetml/2009/9/main" uri="{B025F937-C7B1-47D3-B67F-A62EFF666E3E}">
          <x14:id>{EC93AB2C-AC1D-437E-B298-D48AEC9E49C2}</x14:id>
        </ext>
      </extLst>
    </cfRule>
    <cfRule type="dataBar" priority="4">
      <dataBar showValue="1" minLength="10" maxLength="90">
        <cfvo type="min" val="0"/>
        <cfvo type="max" val="0"/>
        <color rgb="FF39FF4A"/>
      </dataBar>
      <extLst>
        <ext xmlns:x14="http://schemas.microsoft.com/office/spreadsheetml/2009/9/main" uri="{B025F937-C7B1-47D3-B67F-A62EFF666E3E}">
          <x14:id>{8D254CDB-4BD9-4D64-B4E7-7352A3F18750}</x14:id>
        </ext>
      </extLst>
    </cfRule>
  </conditionalFormatting>
  <conditionalFormatting sqref="G5:G18">
    <cfRule type="dataBar" priority="5">
      <dataBar showValue="1" minLength="10" maxLength="90">
        <cfvo type="min" val="0"/>
        <cfvo type="max" val="0"/>
        <color rgb="FF64B5F6"/>
      </dataBar>
      <extLst>
        <ext xmlns:x14="http://schemas.microsoft.com/office/spreadsheetml/2009/9/main" uri="{B025F937-C7B1-47D3-B67F-A62EFF666E3E}">
          <x14:id>{30F430D0-B379-49D4-96A2-B6A93DBF10AA}</x14:id>
        </ext>
      </extLst>
    </cfRule>
    <cfRule type="dataBar" priority="6">
      <dataBar showValue="1" minLength="10" maxLength="90">
        <cfvo type="min" val="0"/>
        <cfvo type="max" val="0"/>
        <color rgb="FF64B5F6"/>
      </dataBar>
      <extLst>
        <ext xmlns:x14="http://schemas.microsoft.com/office/spreadsheetml/2009/9/main" uri="{B025F937-C7B1-47D3-B67F-A62EFF666E3E}">
          <x14:id>{84DC6491-411D-45CB-8A2D-3D85CC45E0DB}</x14:id>
        </ext>
      </extLst>
    </cfRule>
    <cfRule type="dataBar" priority="7">
      <dataBar showValue="1" minLength="10" maxLength="90">
        <cfvo type="min" val="0"/>
        <cfvo type="max" val="0"/>
        <color rgb="FF64B5F6"/>
      </dataBar>
      <extLst>
        <ext xmlns:x14="http://schemas.microsoft.com/office/spreadsheetml/2009/9/main" uri="{B025F937-C7B1-47D3-B67F-A62EFF666E3E}">
          <x14:id>{CD58B78D-6E60-42E8-9540-F2499E873D62}</x14:id>
        </ext>
      </extLst>
    </cfRule>
  </conditionalFormatting>
  <conditionalFormatting sqref="O6:O18">
    <cfRule type="cellIs" priority="8" operator="equal" aboveAverage="0" equalAverage="0" bottom="0" percent="0" rank="0" text="" dxfId="95">
      <formula>1</formula>
    </cfRule>
  </conditionalFormatting>
  <conditionalFormatting sqref="A6:O18">
    <cfRule type="expression" priority="9" aboveAverage="0" equalAverage="0" bottom="0" percent="0" rank="0" text="" dxfId="96">
      <formula>AND($D6&gt;=40,$F6&gt;=3,$G6&gt;=25)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DF6A33-E415-43D0-A78C-2AAF71DAED2E}">
            <x14:dataBar minLength="10" maxLength="90" axisPosition="none" gradient="true">
              <x14:cfvo type="min"/>
              <x14:cfvo type="max"/>
              <x14:negativeFillColor rgb="FF39FF4A"/>
              <x14:axisColor rgb="FF000000"/>
            </x14:dataBar>
          </x14:cfRule>
          <x14:cfRule type="dataBar" id="{EC93AB2C-AC1D-437E-B298-D48AEC9E49C2}">
            <x14:dataBar minLength="10" maxLength="90" axisPosition="none" gradient="true">
              <x14:cfvo type="min"/>
              <x14:cfvo type="max"/>
              <x14:negativeFillColor rgb="FF39FF4A"/>
              <x14:axisColor rgb="FF000000"/>
            </x14:dataBar>
          </x14:cfRule>
          <x14:cfRule type="dataBar" id="{8D254CDB-4BD9-4D64-B4E7-7352A3F18750}">
            <x14:dataBar minLength="10" maxLength="90" axisPosition="none" gradient="true">
              <x14:cfvo type="min"/>
              <x14:cfvo type="max"/>
              <x14:negativeFillColor rgb="FF39FF4A"/>
              <x14:axisColor rgb="FF000000"/>
            </x14:dataBar>
          </x14:cfRule>
          <xm:sqref>D5:D18</xm:sqref>
        </x14:conditionalFormatting>
        <x14:conditionalFormatting xmlns:xm="http://schemas.microsoft.com/office/excel/2006/main">
          <x14:cfRule type="dataBar" id="{30F430D0-B379-49D4-96A2-B6A93DBF10AA}">
            <x14:dataBar minLength="10" maxLength="90" axisPosition="none" gradient="true">
              <x14:cfvo type="min"/>
              <x14:cfvo type="max"/>
              <x14:negativeFillColor rgb="FF64B5F6"/>
              <x14:axisColor rgb="FF000000"/>
            </x14:dataBar>
          </x14:cfRule>
          <x14:cfRule type="dataBar" id="{84DC6491-411D-45CB-8A2D-3D85CC45E0DB}">
            <x14:dataBar minLength="10" maxLength="90" axisPosition="none" gradient="true">
              <x14:cfvo type="min"/>
              <x14:cfvo type="max"/>
              <x14:negativeFillColor rgb="FF64B5F6"/>
              <x14:axisColor rgb="FF000000"/>
            </x14:dataBar>
          </x14:cfRule>
          <x14:cfRule type="dataBar" id="{CD58B78D-6E60-42E8-9540-F2499E873D62}">
            <x14:dataBar minLength="10" maxLength="90" axisPosition="none" gradient="true">
              <x14:cfvo type="min"/>
              <x14:cfvo type="max"/>
              <x14:negativeFillColor rgb="FF64B5F6"/>
              <x14:axisColor rgb="FF000000"/>
            </x14:dataBar>
          </x14:cfRule>
          <xm:sqref>G5:G18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5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8" min="6" style="1" width="10"/>
    <col collapsed="false" customWidth="true" hidden="false" outlineLevel="0" max="9" min="9" style="1" width="48"/>
    <col collapsed="false" customWidth="true" hidden="false" outlineLevel="0" max="10" min="10" style="1" width="12"/>
  </cols>
  <sheetData>
    <row r="1" customFormat="false" ht="30" hidden="false" customHeight="true" outlineLevel="0" collapsed="false">
      <c r="A1" s="2" t="s">
        <v>493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3" t="s">
        <v>494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5" hidden="false" customHeight="true" outlineLevel="0" collapsed="false">
      <c r="A4" s="56" t="s">
        <v>495</v>
      </c>
      <c r="B4" s="57" t="n">
        <f aca="false">'Draft HQ'!B7</f>
        <v>200</v>
      </c>
      <c r="C4" s="56" t="s">
        <v>475</v>
      </c>
      <c r="D4" s="58" t="n">
        <f aca="false">'Draft HQ'!B9</f>
        <v>15</v>
      </c>
      <c r="E4" s="56" t="s">
        <v>476</v>
      </c>
      <c r="F4" s="57" t="n">
        <f aca="false">'Draft HQ'!B10</f>
        <v>186</v>
      </c>
      <c r="G4" s="56" t="s">
        <v>496</v>
      </c>
      <c r="H4" s="58" t="n">
        <f aca="false">SUM(F7:F15)</f>
        <v>0</v>
      </c>
      <c r="I4" s="58" t="s">
        <v>497</v>
      </c>
      <c r="J4" s="58" t="n">
        <f aca="false">SUM(F7:F21)</f>
        <v>0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7.75" hidden="false" customHeight="true" outlineLevel="0" collapsed="false">
      <c r="A6" s="10" t="s">
        <v>498</v>
      </c>
      <c r="B6" s="10" t="s">
        <v>7</v>
      </c>
      <c r="C6" s="10" t="s">
        <v>58</v>
      </c>
      <c r="D6" s="10" t="s">
        <v>463</v>
      </c>
      <c r="E6" s="10" t="s">
        <v>81</v>
      </c>
      <c r="F6" s="10" t="s">
        <v>499</v>
      </c>
      <c r="G6" s="10" t="s">
        <v>500</v>
      </c>
      <c r="H6" s="10" t="s">
        <v>501</v>
      </c>
      <c r="I6" s="10" t="s">
        <v>92</v>
      </c>
      <c r="J6" s="10" t="s">
        <v>502</v>
      </c>
    </row>
    <row r="7" customFormat="false" ht="15" hidden="false" customHeight="true" outlineLevel="0" collapsed="false">
      <c r="A7" s="59" t="s">
        <v>16</v>
      </c>
      <c r="B7" s="15" t="str">
        <f aca="false">IFERROR(LOOKUP(2,1/(('Auction Log'!$F$5:$F$304=A7)*('Auction Log'!$D$5:$D$304="ME")),'Auction Log'!$B$5:$B$304),"")</f>
        <v/>
      </c>
      <c r="C7" s="15" t="str">
        <f aca="false">IF(B7="","",IFERROR(INDEX('Player Board'!$G$5:$G$304,MATCH(B7,'Player Board'!$A$5:$A$304,0)),""))</f>
        <v/>
      </c>
      <c r="D7" s="16" t="str">
        <f aca="false">IFERROR(LOOKUP(2,1/(('Auction Log'!$F$5:$F$304=A7)*('Auction Log'!$D$5:$D$304="ME")),'Auction Log'!$E$5:$E$304),"")</f>
        <v/>
      </c>
      <c r="E7" s="15" t="str">
        <f aca="false">IF(B7="","",IFERROR(INDEX('Player Board'!$H$5:$H$304,MATCH(B7,'Player Board'!$A$5:$A$304,0)),""))</f>
        <v/>
      </c>
      <c r="F7" s="34" t="str">
        <f aca="false">IF(B7="","",IFERROR(INDEX('Player Board'!$AA$5:$AA$304,MATCH(B7,'Player Board'!$A$5:$A$304,0)),""))</f>
        <v/>
      </c>
      <c r="G7" s="34" t="str">
        <f aca="false">IF(B7="","",IFERROR(INDEX('Player Board'!$R$5:$R$304,MATCH(B7,'Player Board'!$A$5:$A$304,0)),""))</f>
        <v/>
      </c>
      <c r="H7" s="16" t="str">
        <f aca="false">IF(D7="","",G7-D7)</f>
        <v/>
      </c>
      <c r="I7" s="30" t="str">
        <f aca="false">IF(B7="","",IFERROR(INDEX('Player Board'!$U$5:$U$304,MATCH(B7,'Player Board'!$A$5:$A$304,0)),""))</f>
        <v/>
      </c>
      <c r="J7" s="15" t="str">
        <f aca="false">IF(B7="","",IF(H7&gt;=5,"STEAL",IF(H7&gt;=2,"VALUE",IF(H7&gt;=-1,"FAIR","OVERPAY"))))</f>
        <v/>
      </c>
    </row>
    <row r="8" customFormat="false" ht="15" hidden="false" customHeight="true" outlineLevel="0" collapsed="false">
      <c r="A8" s="60" t="s">
        <v>503</v>
      </c>
      <c r="B8" s="18" t="str">
        <f aca="false">IFERROR(LOOKUP(2,1/(('Auction Log'!$F$5:$F$304=A8)*('Auction Log'!$D$5:$D$304="ME")),'Auction Log'!$B$5:$B$304),"")</f>
        <v/>
      </c>
      <c r="C8" s="18" t="str">
        <f aca="false">IF(B8="","",IFERROR(INDEX('Player Board'!$G$5:$G$304,MATCH(B8,'Player Board'!$A$5:$A$304,0)),""))</f>
        <v/>
      </c>
      <c r="D8" s="19" t="str">
        <f aca="false">IFERROR(LOOKUP(2,1/(('Auction Log'!$F$5:$F$304=A8)*('Auction Log'!$D$5:$D$304="ME")),'Auction Log'!$E$5:$E$304),"")</f>
        <v/>
      </c>
      <c r="E8" s="18" t="str">
        <f aca="false">IF(B8="","",IFERROR(INDEX('Player Board'!$H$5:$H$304,MATCH(B8,'Player Board'!$A$5:$A$304,0)),""))</f>
        <v/>
      </c>
      <c r="F8" s="36" t="str">
        <f aca="false">IF(B8="","",IFERROR(INDEX('Player Board'!$AA$5:$AA$304,MATCH(B8,'Player Board'!$A$5:$A$304,0)),""))</f>
        <v/>
      </c>
      <c r="G8" s="36" t="str">
        <f aca="false">IF(B8="","",IFERROR(INDEX('Player Board'!$R$5:$R$304,MATCH(B8,'Player Board'!$A$5:$A$304,0)),""))</f>
        <v/>
      </c>
      <c r="H8" s="19" t="str">
        <f aca="false">IF(D8="","",G8-D8)</f>
        <v/>
      </c>
      <c r="I8" s="32" t="str">
        <f aca="false">IF(B8="","",IFERROR(INDEX('Player Board'!$U$5:$U$304,MATCH(B8,'Player Board'!$A$5:$A$304,0)),""))</f>
        <v/>
      </c>
      <c r="J8" s="18" t="str">
        <f aca="false">IF(B8="","",IF(H8&gt;=5,"STEAL",IF(H8&gt;=2,"VALUE",IF(H8&gt;=-1,"FAIR","OVERPAY"))))</f>
        <v/>
      </c>
    </row>
    <row r="9" customFormat="false" ht="15" hidden="false" customHeight="true" outlineLevel="0" collapsed="false">
      <c r="A9" s="60" t="s">
        <v>504</v>
      </c>
      <c r="B9" s="18" t="str">
        <f aca="false">IFERROR(LOOKUP(2,1/(('Auction Log'!$F$5:$F$304=A9)*('Auction Log'!$D$5:$D$304="ME")),'Auction Log'!$B$5:$B$304),"")</f>
        <v/>
      </c>
      <c r="C9" s="18" t="str">
        <f aca="false">IF(B9="","",IFERROR(INDEX('Player Board'!$G$5:$G$304,MATCH(B9,'Player Board'!$A$5:$A$304,0)),""))</f>
        <v/>
      </c>
      <c r="D9" s="19" t="str">
        <f aca="false">IFERROR(LOOKUP(2,1/(('Auction Log'!$F$5:$F$304=A9)*('Auction Log'!$D$5:$D$304="ME")),'Auction Log'!$E$5:$E$304),"")</f>
        <v/>
      </c>
      <c r="E9" s="18" t="str">
        <f aca="false">IF(B9="","",IFERROR(INDEX('Player Board'!$H$5:$H$304,MATCH(B9,'Player Board'!$A$5:$A$304,0)),""))</f>
        <v/>
      </c>
      <c r="F9" s="36" t="str">
        <f aca="false">IF(B9="","",IFERROR(INDEX('Player Board'!$AA$5:$AA$304,MATCH(B9,'Player Board'!$A$5:$A$304,0)),""))</f>
        <v/>
      </c>
      <c r="G9" s="36" t="str">
        <f aca="false">IF(B9="","",IFERROR(INDEX('Player Board'!$R$5:$R$304,MATCH(B9,'Player Board'!$A$5:$A$304,0)),""))</f>
        <v/>
      </c>
      <c r="H9" s="19" t="str">
        <f aca="false">IF(D9="","",G9-D9)</f>
        <v/>
      </c>
      <c r="I9" s="32" t="str">
        <f aca="false">IF(B9="","",IFERROR(INDEX('Player Board'!$U$5:$U$304,MATCH(B9,'Player Board'!$A$5:$A$304,0)),""))</f>
        <v/>
      </c>
      <c r="J9" s="18" t="str">
        <f aca="false">IF(B9="","",IF(H9&gt;=5,"STEAL",IF(H9&gt;=2,"VALUE",IF(H9&gt;=-1,"FAIR","OVERPAY"))))</f>
        <v/>
      </c>
    </row>
    <row r="10" customFormat="false" ht="15" hidden="false" customHeight="true" outlineLevel="0" collapsed="false">
      <c r="A10" s="60" t="s">
        <v>505</v>
      </c>
      <c r="B10" s="18" t="str">
        <f aca="false">IFERROR(LOOKUP(2,1/(('Auction Log'!$F$5:$F$304=A10)*('Auction Log'!$D$5:$D$304="ME")),'Auction Log'!$B$5:$B$304),"")</f>
        <v/>
      </c>
      <c r="C10" s="18" t="str">
        <f aca="false">IF(B10="","",IFERROR(INDEX('Player Board'!$G$5:$G$304,MATCH(B10,'Player Board'!$A$5:$A$304,0)),""))</f>
        <v/>
      </c>
      <c r="D10" s="19" t="str">
        <f aca="false">IFERROR(LOOKUP(2,1/(('Auction Log'!$F$5:$F$304=A10)*('Auction Log'!$D$5:$D$304="ME")),'Auction Log'!$E$5:$E$304),"")</f>
        <v/>
      </c>
      <c r="E10" s="18" t="str">
        <f aca="false">IF(B10="","",IFERROR(INDEX('Player Board'!$H$5:$H$304,MATCH(B10,'Player Board'!$A$5:$A$304,0)),""))</f>
        <v/>
      </c>
      <c r="F10" s="36" t="str">
        <f aca="false">IF(B10="","",IFERROR(INDEX('Player Board'!$AA$5:$AA$304,MATCH(B10,'Player Board'!$A$5:$A$304,0)),""))</f>
        <v/>
      </c>
      <c r="G10" s="36" t="str">
        <f aca="false">IF(B10="","",IFERROR(INDEX('Player Board'!$R$5:$R$304,MATCH(B10,'Player Board'!$A$5:$A$304,0)),""))</f>
        <v/>
      </c>
      <c r="H10" s="19" t="str">
        <f aca="false">IF(D10="","",G10-D10)</f>
        <v/>
      </c>
      <c r="I10" s="32" t="str">
        <f aca="false">IF(B10="","",IFERROR(INDEX('Player Board'!$U$5:$U$304,MATCH(B10,'Player Board'!$A$5:$A$304,0)),""))</f>
        <v/>
      </c>
      <c r="J10" s="18" t="str">
        <f aca="false">IF(B10="","",IF(H10&gt;=5,"STEAL",IF(H10&gt;=2,"VALUE",IF(H10&gt;=-1,"FAIR","OVERPAY"))))</f>
        <v/>
      </c>
    </row>
    <row r="11" customFormat="false" ht="15" hidden="false" customHeight="true" outlineLevel="0" collapsed="false">
      <c r="A11" s="60" t="s">
        <v>506</v>
      </c>
      <c r="B11" s="18" t="str">
        <f aca="false">IFERROR(LOOKUP(2,1/(('Auction Log'!$F$5:$F$304=A11)*('Auction Log'!$D$5:$D$304="ME")),'Auction Log'!$B$5:$B$304),"")</f>
        <v/>
      </c>
      <c r="C11" s="18" t="str">
        <f aca="false">IF(B11="","",IFERROR(INDEX('Player Board'!$G$5:$G$304,MATCH(B11,'Player Board'!$A$5:$A$304,0)),""))</f>
        <v/>
      </c>
      <c r="D11" s="19" t="str">
        <f aca="false">IFERROR(LOOKUP(2,1/(('Auction Log'!$F$5:$F$304=A11)*('Auction Log'!$D$5:$D$304="ME")),'Auction Log'!$E$5:$E$304),"")</f>
        <v/>
      </c>
      <c r="E11" s="18" t="str">
        <f aca="false">IF(B11="","",IFERROR(INDEX('Player Board'!$H$5:$H$304,MATCH(B11,'Player Board'!$A$5:$A$304,0)),""))</f>
        <v/>
      </c>
      <c r="F11" s="36" t="str">
        <f aca="false">IF(B11="","",IFERROR(INDEX('Player Board'!$AA$5:$AA$304,MATCH(B11,'Player Board'!$A$5:$A$304,0)),""))</f>
        <v/>
      </c>
      <c r="G11" s="36" t="str">
        <f aca="false">IF(B11="","",IFERROR(INDEX('Player Board'!$R$5:$R$304,MATCH(B11,'Player Board'!$A$5:$A$304,0)),""))</f>
        <v/>
      </c>
      <c r="H11" s="19" t="str">
        <f aca="false">IF(D11="","",G11-D11)</f>
        <v/>
      </c>
      <c r="I11" s="32" t="str">
        <f aca="false">IF(B11="","",IFERROR(INDEX('Player Board'!$U$5:$U$304,MATCH(B11,'Player Board'!$A$5:$A$304,0)),""))</f>
        <v/>
      </c>
      <c r="J11" s="18" t="str">
        <f aca="false">IF(B11="","",IF(H11&gt;=5,"STEAL",IF(H11&gt;=2,"VALUE",IF(H11&gt;=-1,"FAIR","OVERPAY"))))</f>
        <v/>
      </c>
    </row>
    <row r="12" customFormat="false" ht="15" hidden="false" customHeight="true" outlineLevel="0" collapsed="false">
      <c r="A12" s="60" t="s">
        <v>30</v>
      </c>
      <c r="B12" s="18" t="str">
        <f aca="false">IFERROR(LOOKUP(2,1/(('Auction Log'!$F$5:$F$304=A12)*('Auction Log'!$D$5:$D$304="ME")),'Auction Log'!$B$5:$B$304),"")</f>
        <v/>
      </c>
      <c r="C12" s="18" t="str">
        <f aca="false">IF(B12="","",IFERROR(INDEX('Player Board'!$G$5:$G$304,MATCH(B12,'Player Board'!$A$5:$A$304,0)),""))</f>
        <v/>
      </c>
      <c r="D12" s="19" t="str">
        <f aca="false">IFERROR(LOOKUP(2,1/(('Auction Log'!$F$5:$F$304=A12)*('Auction Log'!$D$5:$D$304="ME")),'Auction Log'!$E$5:$E$304),"")</f>
        <v/>
      </c>
      <c r="E12" s="18" t="str">
        <f aca="false">IF(B12="","",IFERROR(INDEX('Player Board'!$H$5:$H$304,MATCH(B12,'Player Board'!$A$5:$A$304,0)),""))</f>
        <v/>
      </c>
      <c r="F12" s="36" t="str">
        <f aca="false">IF(B12="","",IFERROR(INDEX('Player Board'!$AA$5:$AA$304,MATCH(B12,'Player Board'!$A$5:$A$304,0)),""))</f>
        <v/>
      </c>
      <c r="G12" s="36" t="str">
        <f aca="false">IF(B12="","",IFERROR(INDEX('Player Board'!$R$5:$R$304,MATCH(B12,'Player Board'!$A$5:$A$304,0)),""))</f>
        <v/>
      </c>
      <c r="H12" s="19" t="str">
        <f aca="false">IF(D12="","",G12-D12)</f>
        <v/>
      </c>
      <c r="I12" s="32" t="str">
        <f aca="false">IF(B12="","",IFERROR(INDEX('Player Board'!$U$5:$U$304,MATCH(B12,'Player Board'!$A$5:$A$304,0)),""))</f>
        <v/>
      </c>
      <c r="J12" s="18" t="str">
        <f aca="false">IF(B12="","",IF(H12&gt;=5,"STEAL",IF(H12&gt;=2,"VALUE",IF(H12&gt;=-1,"FAIR","OVERPAY"))))</f>
        <v/>
      </c>
    </row>
    <row r="13" customFormat="false" ht="15" hidden="false" customHeight="true" outlineLevel="0" collapsed="false">
      <c r="A13" s="60" t="s">
        <v>507</v>
      </c>
      <c r="B13" s="18" t="str">
        <f aca="false">IFERROR(LOOKUP(2,1/(('Auction Log'!$F$5:$F$304=A13)*('Auction Log'!$D$5:$D$304="ME")),'Auction Log'!$B$5:$B$304),"")</f>
        <v/>
      </c>
      <c r="C13" s="18" t="str">
        <f aca="false">IF(B13="","",IFERROR(INDEX('Player Board'!$G$5:$G$304,MATCH(B13,'Player Board'!$A$5:$A$304,0)),""))</f>
        <v/>
      </c>
      <c r="D13" s="19" t="str">
        <f aca="false">IFERROR(LOOKUP(2,1/(('Auction Log'!$F$5:$F$304=A13)*('Auction Log'!$D$5:$D$304="ME")),'Auction Log'!$E$5:$E$304),"")</f>
        <v/>
      </c>
      <c r="E13" s="18" t="str">
        <f aca="false">IF(B13="","",IFERROR(INDEX('Player Board'!$H$5:$H$304,MATCH(B13,'Player Board'!$A$5:$A$304,0)),""))</f>
        <v/>
      </c>
      <c r="F13" s="36" t="str">
        <f aca="false">IF(B13="","",IFERROR(INDEX('Player Board'!$AA$5:$AA$304,MATCH(B13,'Player Board'!$A$5:$A$304,0)),""))</f>
        <v/>
      </c>
      <c r="G13" s="36" t="str">
        <f aca="false">IF(B13="","",IFERROR(INDEX('Player Board'!$R$5:$R$304,MATCH(B13,'Player Board'!$A$5:$A$304,0)),""))</f>
        <v/>
      </c>
      <c r="H13" s="19" t="str">
        <f aca="false">IF(D13="","",G13-D13)</f>
        <v/>
      </c>
      <c r="I13" s="32" t="str">
        <f aca="false">IF(B13="","",IFERROR(INDEX('Player Board'!$U$5:$U$304,MATCH(B13,'Player Board'!$A$5:$A$304,0)),""))</f>
        <v/>
      </c>
      <c r="J13" s="18" t="str">
        <f aca="false">IF(B13="","",IF(H13&gt;=5,"STEAL",IF(H13&gt;=2,"VALUE",IF(H13&gt;=-1,"FAIR","OVERPAY"))))</f>
        <v/>
      </c>
    </row>
    <row r="14" customFormat="false" ht="15" hidden="false" customHeight="true" outlineLevel="0" collapsed="false">
      <c r="A14" s="60" t="s">
        <v>34</v>
      </c>
      <c r="B14" s="18" t="str">
        <f aca="false">IFERROR(LOOKUP(2,1/(('Auction Log'!$F$5:$F$304=A14)*('Auction Log'!$D$5:$D$304="ME")),'Auction Log'!$B$5:$B$304),"")</f>
        <v/>
      </c>
      <c r="C14" s="18" t="str">
        <f aca="false">IF(B14="","",IFERROR(INDEX('Player Board'!$G$5:$G$304,MATCH(B14,'Player Board'!$A$5:$A$304,0)),""))</f>
        <v/>
      </c>
      <c r="D14" s="19" t="str">
        <f aca="false">IFERROR(LOOKUP(2,1/(('Auction Log'!$F$5:$F$304=A14)*('Auction Log'!$D$5:$D$304="ME")),'Auction Log'!$E$5:$E$304),"")</f>
        <v/>
      </c>
      <c r="E14" s="18" t="str">
        <f aca="false">IF(B14="","",IFERROR(INDEX('Player Board'!$H$5:$H$304,MATCH(B14,'Player Board'!$A$5:$A$304,0)),""))</f>
        <v/>
      </c>
      <c r="F14" s="36" t="str">
        <f aca="false">IF(B14="","",IFERROR(INDEX('Player Board'!$AA$5:$AA$304,MATCH(B14,'Player Board'!$A$5:$A$304,0)),""))</f>
        <v/>
      </c>
      <c r="G14" s="36" t="str">
        <f aca="false">IF(B14="","",IFERROR(INDEX('Player Board'!$R$5:$R$304,MATCH(B14,'Player Board'!$A$5:$A$304,0)),""))</f>
        <v/>
      </c>
      <c r="H14" s="19" t="str">
        <f aca="false">IF(D14="","",G14-D14)</f>
        <v/>
      </c>
      <c r="I14" s="32" t="str">
        <f aca="false">IF(B14="","",IFERROR(INDEX('Player Board'!$U$5:$U$304,MATCH(B14,'Player Board'!$A$5:$A$304,0)),""))</f>
        <v/>
      </c>
      <c r="J14" s="18" t="str">
        <f aca="false">IF(B14="","",IF(H14&gt;=5,"STEAL",IF(H14&gt;=2,"VALUE",IF(H14&gt;=-1,"FAIR","OVERPAY"))))</f>
        <v/>
      </c>
    </row>
    <row r="15" customFormat="false" ht="15" hidden="false" customHeight="true" outlineLevel="0" collapsed="false">
      <c r="A15" s="60" t="s">
        <v>37</v>
      </c>
      <c r="B15" s="18" t="str">
        <f aca="false">IFERROR(LOOKUP(2,1/(('Auction Log'!$F$5:$F$304=A15)*('Auction Log'!$D$5:$D$304="ME")),'Auction Log'!$B$5:$B$304),"")</f>
        <v/>
      </c>
      <c r="C15" s="18" t="str">
        <f aca="false">IF(B15="","",IFERROR(INDEX('Player Board'!$G$5:$G$304,MATCH(B15,'Player Board'!$A$5:$A$304,0)),""))</f>
        <v/>
      </c>
      <c r="D15" s="19" t="str">
        <f aca="false">IFERROR(LOOKUP(2,1/(('Auction Log'!$F$5:$F$304=A15)*('Auction Log'!$D$5:$D$304="ME")),'Auction Log'!$E$5:$E$304),"")</f>
        <v/>
      </c>
      <c r="E15" s="18" t="str">
        <f aca="false">IF(B15="","",IFERROR(INDEX('Player Board'!$H$5:$H$304,MATCH(B15,'Player Board'!$A$5:$A$304,0)),""))</f>
        <v/>
      </c>
      <c r="F15" s="36" t="str">
        <f aca="false">IF(B15="","",IFERROR(INDEX('Player Board'!$AA$5:$AA$304,MATCH(B15,'Player Board'!$A$5:$A$304,0)),""))</f>
        <v/>
      </c>
      <c r="G15" s="36" t="str">
        <f aca="false">IF(B15="","",IFERROR(INDEX('Player Board'!$R$5:$R$304,MATCH(B15,'Player Board'!$A$5:$A$304,0)),""))</f>
        <v/>
      </c>
      <c r="H15" s="19" t="str">
        <f aca="false">IF(D15="","",G15-D15)</f>
        <v/>
      </c>
      <c r="I15" s="32" t="str">
        <f aca="false">IF(B15="","",IFERROR(INDEX('Player Board'!$U$5:$U$304,MATCH(B15,'Player Board'!$A$5:$A$304,0)),""))</f>
        <v/>
      </c>
      <c r="J15" s="18" t="str">
        <f aca="false">IF(B15="","",IF(H15&gt;=5,"STEAL",IF(H15&gt;=2,"VALUE",IF(H15&gt;=-1,"FAIR","OVERPAY"))))</f>
        <v/>
      </c>
    </row>
    <row r="16" customFormat="false" ht="15" hidden="false" customHeight="true" outlineLevel="0" collapsed="false">
      <c r="A16" s="60" t="s">
        <v>508</v>
      </c>
      <c r="B16" s="18" t="str">
        <f aca="false">IFERROR(LOOKUP(2,1/(('Auction Log'!$F$5:$F$304=A16)*('Auction Log'!$D$5:$D$304="ME")),'Auction Log'!$B$5:$B$304),"")</f>
        <v/>
      </c>
      <c r="C16" s="18" t="str">
        <f aca="false">IF(B16="","",IFERROR(INDEX('Player Board'!$G$5:$G$304,MATCH(B16,'Player Board'!$A$5:$A$304,0)),""))</f>
        <v/>
      </c>
      <c r="D16" s="19" t="str">
        <f aca="false">IFERROR(LOOKUP(2,1/(('Auction Log'!$F$5:$F$304=A16)*('Auction Log'!$D$5:$D$304="ME")),'Auction Log'!$E$5:$E$304),"")</f>
        <v/>
      </c>
      <c r="E16" s="18" t="str">
        <f aca="false">IF(B16="","",IFERROR(INDEX('Player Board'!$H$5:$H$304,MATCH(B16,'Player Board'!$A$5:$A$304,0)),""))</f>
        <v/>
      </c>
      <c r="F16" s="36" t="str">
        <f aca="false">IF(B16="","",IFERROR(INDEX('Player Board'!$AA$5:$AA$304,MATCH(B16,'Player Board'!$A$5:$A$304,0)),""))</f>
        <v/>
      </c>
      <c r="G16" s="36" t="str">
        <f aca="false">IF(B16="","",IFERROR(INDEX('Player Board'!$R$5:$R$304,MATCH(B16,'Player Board'!$A$5:$A$304,0)),""))</f>
        <v/>
      </c>
      <c r="H16" s="19" t="str">
        <f aca="false">IF(D16="","",G16-D16)</f>
        <v/>
      </c>
      <c r="I16" s="32" t="str">
        <f aca="false">IF(B16="","",IFERROR(INDEX('Player Board'!$U$5:$U$304,MATCH(B16,'Player Board'!$A$5:$A$304,0)),""))</f>
        <v/>
      </c>
      <c r="J16" s="18" t="str">
        <f aca="false">IF(B16="","",IF(H16&gt;=5,"STEAL",IF(H16&gt;=2,"VALUE",IF(H16&gt;=-1,"FAIR","OVERPAY"))))</f>
        <v/>
      </c>
    </row>
    <row r="17" customFormat="false" ht="15" hidden="false" customHeight="true" outlineLevel="0" collapsed="false">
      <c r="A17" s="60" t="s">
        <v>509</v>
      </c>
      <c r="B17" s="18" t="str">
        <f aca="false">IFERROR(LOOKUP(2,1/(('Auction Log'!$F$5:$F$304=A17)*('Auction Log'!$D$5:$D$304="ME")),'Auction Log'!$B$5:$B$304),"")</f>
        <v/>
      </c>
      <c r="C17" s="18" t="str">
        <f aca="false">IF(B17="","",IFERROR(INDEX('Player Board'!$G$5:$G$304,MATCH(B17,'Player Board'!$A$5:$A$304,0)),""))</f>
        <v/>
      </c>
      <c r="D17" s="19" t="str">
        <f aca="false">IFERROR(LOOKUP(2,1/(('Auction Log'!$F$5:$F$304=A17)*('Auction Log'!$D$5:$D$304="ME")),'Auction Log'!$E$5:$E$304),"")</f>
        <v/>
      </c>
      <c r="E17" s="18" t="str">
        <f aca="false">IF(B17="","",IFERROR(INDEX('Player Board'!$H$5:$H$304,MATCH(B17,'Player Board'!$A$5:$A$304,0)),""))</f>
        <v/>
      </c>
      <c r="F17" s="36" t="str">
        <f aca="false">IF(B17="","",IFERROR(INDEX('Player Board'!$AA$5:$AA$304,MATCH(B17,'Player Board'!$A$5:$A$304,0)),""))</f>
        <v/>
      </c>
      <c r="G17" s="36" t="str">
        <f aca="false">IF(B17="","",IFERROR(INDEX('Player Board'!$R$5:$R$304,MATCH(B17,'Player Board'!$A$5:$A$304,0)),""))</f>
        <v/>
      </c>
      <c r="H17" s="19" t="str">
        <f aca="false">IF(D17="","",G17-D17)</f>
        <v/>
      </c>
      <c r="I17" s="32" t="str">
        <f aca="false">IF(B17="","",IFERROR(INDEX('Player Board'!$U$5:$U$304,MATCH(B17,'Player Board'!$A$5:$A$304,0)),""))</f>
        <v/>
      </c>
      <c r="J17" s="18" t="str">
        <f aca="false">IF(B17="","",IF(H17&gt;=5,"STEAL",IF(H17&gt;=2,"VALUE",IF(H17&gt;=-1,"FAIR","OVERPAY"))))</f>
        <v/>
      </c>
    </row>
    <row r="18" customFormat="false" ht="15" hidden="false" customHeight="true" outlineLevel="0" collapsed="false">
      <c r="A18" s="60" t="s">
        <v>510</v>
      </c>
      <c r="B18" s="18" t="str">
        <f aca="false">IFERROR(LOOKUP(2,1/(('Auction Log'!$F$5:$F$304=A18)*('Auction Log'!$D$5:$D$304="ME")),'Auction Log'!$B$5:$B$304),"")</f>
        <v/>
      </c>
      <c r="C18" s="18" t="str">
        <f aca="false">IF(B18="","",IFERROR(INDEX('Player Board'!$G$5:$G$304,MATCH(B18,'Player Board'!$A$5:$A$304,0)),""))</f>
        <v/>
      </c>
      <c r="D18" s="19" t="str">
        <f aca="false">IFERROR(LOOKUP(2,1/(('Auction Log'!$F$5:$F$304=A18)*('Auction Log'!$D$5:$D$304="ME")),'Auction Log'!$E$5:$E$304),"")</f>
        <v/>
      </c>
      <c r="E18" s="18" t="str">
        <f aca="false">IF(B18="","",IFERROR(INDEX('Player Board'!$H$5:$H$304,MATCH(B18,'Player Board'!$A$5:$A$304,0)),""))</f>
        <v/>
      </c>
      <c r="F18" s="36" t="str">
        <f aca="false">IF(B18="","",IFERROR(INDEX('Player Board'!$AA$5:$AA$304,MATCH(B18,'Player Board'!$A$5:$A$304,0)),""))</f>
        <v/>
      </c>
      <c r="G18" s="36" t="str">
        <f aca="false">IF(B18="","",IFERROR(INDEX('Player Board'!$R$5:$R$304,MATCH(B18,'Player Board'!$A$5:$A$304,0)),""))</f>
        <v/>
      </c>
      <c r="H18" s="19" t="str">
        <f aca="false">IF(D18="","",G18-D18)</f>
        <v/>
      </c>
      <c r="I18" s="32" t="str">
        <f aca="false">IF(B18="","",IFERROR(INDEX('Player Board'!$U$5:$U$304,MATCH(B18,'Player Board'!$A$5:$A$304,0)),""))</f>
        <v/>
      </c>
      <c r="J18" s="18" t="str">
        <f aca="false">IF(B18="","",IF(H18&gt;=5,"STEAL",IF(H18&gt;=2,"VALUE",IF(H18&gt;=-1,"FAIR","OVERPAY"))))</f>
        <v/>
      </c>
    </row>
    <row r="19" customFormat="false" ht="15" hidden="false" customHeight="true" outlineLevel="0" collapsed="false">
      <c r="A19" s="60" t="s">
        <v>511</v>
      </c>
      <c r="B19" s="18" t="str">
        <f aca="false">IFERROR(LOOKUP(2,1/(('Auction Log'!$F$5:$F$304=A19)*('Auction Log'!$D$5:$D$304="ME")),'Auction Log'!$B$5:$B$304),"")</f>
        <v/>
      </c>
      <c r="C19" s="18" t="str">
        <f aca="false">IF(B19="","",IFERROR(INDEX('Player Board'!$G$5:$G$304,MATCH(B19,'Player Board'!$A$5:$A$304,0)),""))</f>
        <v/>
      </c>
      <c r="D19" s="19" t="str">
        <f aca="false">IFERROR(LOOKUP(2,1/(('Auction Log'!$F$5:$F$304=A19)*('Auction Log'!$D$5:$D$304="ME")),'Auction Log'!$E$5:$E$304),"")</f>
        <v/>
      </c>
      <c r="E19" s="18" t="str">
        <f aca="false">IF(B19="","",IFERROR(INDEX('Player Board'!$H$5:$H$304,MATCH(B19,'Player Board'!$A$5:$A$304,0)),""))</f>
        <v/>
      </c>
      <c r="F19" s="36" t="str">
        <f aca="false">IF(B19="","",IFERROR(INDEX('Player Board'!$AA$5:$AA$304,MATCH(B19,'Player Board'!$A$5:$A$304,0)),""))</f>
        <v/>
      </c>
      <c r="G19" s="36" t="str">
        <f aca="false">IF(B19="","",IFERROR(INDEX('Player Board'!$R$5:$R$304,MATCH(B19,'Player Board'!$A$5:$A$304,0)),""))</f>
        <v/>
      </c>
      <c r="H19" s="19" t="str">
        <f aca="false">IF(D19="","",G19-D19)</f>
        <v/>
      </c>
      <c r="I19" s="32" t="str">
        <f aca="false">IF(B19="","",IFERROR(INDEX('Player Board'!$U$5:$U$304,MATCH(B19,'Player Board'!$A$5:$A$304,0)),""))</f>
        <v/>
      </c>
      <c r="J19" s="18" t="str">
        <f aca="false">IF(B19="","",IF(H19&gt;=5,"STEAL",IF(H19&gt;=2,"VALUE",IF(H19&gt;=-1,"FAIR","OVERPAY"))))</f>
        <v/>
      </c>
    </row>
    <row r="20" customFormat="false" ht="15" hidden="false" customHeight="true" outlineLevel="0" collapsed="false">
      <c r="A20" s="60" t="s">
        <v>512</v>
      </c>
      <c r="B20" s="18" t="str">
        <f aca="false">IFERROR(LOOKUP(2,1/(('Auction Log'!$F$5:$F$304=A20)*('Auction Log'!$D$5:$D$304="ME")),'Auction Log'!$B$5:$B$304),"")</f>
        <v/>
      </c>
      <c r="C20" s="18" t="str">
        <f aca="false">IF(B20="","",IFERROR(INDEX('Player Board'!$G$5:$G$304,MATCH(B20,'Player Board'!$A$5:$A$304,0)),""))</f>
        <v/>
      </c>
      <c r="D20" s="19" t="str">
        <f aca="false">IFERROR(LOOKUP(2,1/(('Auction Log'!$F$5:$F$304=A20)*('Auction Log'!$D$5:$D$304="ME")),'Auction Log'!$E$5:$E$304),"")</f>
        <v/>
      </c>
      <c r="E20" s="18" t="str">
        <f aca="false">IF(B20="","",IFERROR(INDEX('Player Board'!$H$5:$H$304,MATCH(B20,'Player Board'!$A$5:$A$304,0)),""))</f>
        <v/>
      </c>
      <c r="F20" s="36" t="str">
        <f aca="false">IF(B20="","",IFERROR(INDEX('Player Board'!$AA$5:$AA$304,MATCH(B20,'Player Board'!$A$5:$A$304,0)),""))</f>
        <v/>
      </c>
      <c r="G20" s="36" t="str">
        <f aca="false">IF(B20="","",IFERROR(INDEX('Player Board'!$R$5:$R$304,MATCH(B20,'Player Board'!$A$5:$A$304,0)),""))</f>
        <v/>
      </c>
      <c r="H20" s="19" t="str">
        <f aca="false">IF(D20="","",G20-D20)</f>
        <v/>
      </c>
      <c r="I20" s="32" t="str">
        <f aca="false">IF(B20="","",IFERROR(INDEX('Player Board'!$U$5:$U$304,MATCH(B20,'Player Board'!$A$5:$A$304,0)),""))</f>
        <v/>
      </c>
      <c r="J20" s="18" t="str">
        <f aca="false">IF(B20="","",IF(H20&gt;=5,"STEAL",IF(H20&gt;=2,"VALUE",IF(H20&gt;=-1,"FAIR","OVERPAY"))))</f>
        <v/>
      </c>
    </row>
    <row r="21" customFormat="false" ht="15" hidden="false" customHeight="true" outlineLevel="0" collapsed="false">
      <c r="A21" s="61" t="s">
        <v>513</v>
      </c>
      <c r="B21" s="37" t="str">
        <f aca="false">IFERROR(LOOKUP(2,1/(('Auction Log'!$F$5:$F$304=A21)*('Auction Log'!$D$5:$D$304="ME")),'Auction Log'!$B$5:$B$304),"")</f>
        <v/>
      </c>
      <c r="C21" s="37" t="str">
        <f aca="false">IF(B21="","",IFERROR(INDEX('Player Board'!$G$5:$G$304,MATCH(B21,'Player Board'!$A$5:$A$304,0)),""))</f>
        <v/>
      </c>
      <c r="D21" s="38" t="str">
        <f aca="false">IFERROR(LOOKUP(2,1/(('Auction Log'!$F$5:$F$304=A21)*('Auction Log'!$D$5:$D$304="ME")),'Auction Log'!$E$5:$E$304),"")</f>
        <v/>
      </c>
      <c r="E21" s="37" t="str">
        <f aca="false">IF(B21="","",IFERROR(INDEX('Player Board'!$H$5:$H$304,MATCH(B21,'Player Board'!$A$5:$A$304,0)),""))</f>
        <v/>
      </c>
      <c r="F21" s="39" t="str">
        <f aca="false">IF(B21="","",IFERROR(INDEX('Player Board'!$AA$5:$AA$304,MATCH(B21,'Player Board'!$A$5:$A$304,0)),""))</f>
        <v/>
      </c>
      <c r="G21" s="39" t="str">
        <f aca="false">IF(B21="","",IFERROR(INDEX('Player Board'!$R$5:$R$304,MATCH(B21,'Player Board'!$A$5:$A$304,0)),""))</f>
        <v/>
      </c>
      <c r="H21" s="38" t="str">
        <f aca="false">IF(D21="","",G21-D21)</f>
        <v/>
      </c>
      <c r="I21" s="40" t="str">
        <f aca="false">IF(B21="","",IFERROR(INDEX('Player Board'!$U$5:$U$304,MATCH(B21,'Player Board'!$A$5:$A$304,0)),""))</f>
        <v/>
      </c>
      <c r="J21" s="37" t="str">
        <f aca="false">IF(B21="","",IF(H21&gt;=5,"STEAL",IF(H21&gt;=2,"VALUE",IF(H21&gt;=-1,"FAIR","OVERPAY"))))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true" outlineLevel="0" collapsed="false">
      <c r="A23" s="5" t="s">
        <v>514</v>
      </c>
      <c r="B23" s="5"/>
      <c r="C23" s="5"/>
      <c r="D23" s="5"/>
      <c r="E23" s="5"/>
      <c r="F23" s="4"/>
      <c r="G23" s="4"/>
      <c r="H23" s="4"/>
      <c r="I23" s="4"/>
      <c r="J23" s="4"/>
    </row>
    <row r="24" customFormat="false" ht="27.75" hidden="false" customHeight="true" outlineLevel="0" collapsed="false">
      <c r="A24" s="10" t="s">
        <v>8</v>
      </c>
      <c r="B24" s="10" t="s">
        <v>515</v>
      </c>
      <c r="C24" s="10" t="s">
        <v>516</v>
      </c>
      <c r="D24" s="10" t="s">
        <v>517</v>
      </c>
      <c r="E24" s="10" t="s">
        <v>28</v>
      </c>
      <c r="F24" s="4"/>
      <c r="G24" s="4"/>
      <c r="H24" s="4"/>
      <c r="I24" s="4"/>
      <c r="J24" s="4"/>
    </row>
    <row r="25" customFormat="false" ht="15" hidden="false" customHeight="false" outlineLevel="0" collapsed="false">
      <c r="A25" s="15" t="s">
        <v>16</v>
      </c>
      <c r="B25" s="34" t="n">
        <f aca="false">IFERROR(AVERAGEIF($C$7:$C$21,A25,$F$7:$F$21),0)</f>
        <v>0</v>
      </c>
      <c r="C25" s="34" t="n">
        <f aca="false">IFERROR(AVERAGEIF('Auction Log'!$C$5:$C$304,A25,'Auction Log'!$K$5:$K$304),0)</f>
        <v>0</v>
      </c>
      <c r="D25" s="34" t="n">
        <f aca="false">B25-C25</f>
        <v>0</v>
      </c>
      <c r="E25" s="15" t="str">
        <f aca="false">IF(D25&gt;5,"ABOVE AVG",IF(D25&lt;-5,"BELOW AVG","ON PAR"))</f>
        <v>ON PAR</v>
      </c>
      <c r="F25" s="4"/>
      <c r="G25" s="4"/>
      <c r="H25" s="4"/>
      <c r="I25" s="4"/>
      <c r="J25" s="4"/>
    </row>
    <row r="26" customFormat="false" ht="15" hidden="false" customHeight="false" outlineLevel="0" collapsed="false">
      <c r="A26" s="18" t="s">
        <v>21</v>
      </c>
      <c r="B26" s="36" t="n">
        <f aca="false">IFERROR(AVERAGEIF($C$7:$C$21,A26,$F$7:$F$21),0)</f>
        <v>0</v>
      </c>
      <c r="C26" s="36" t="n">
        <f aca="false">IFERROR(AVERAGEIF('Auction Log'!$C$5:$C$304,A26,'Auction Log'!$K$5:$K$304),0)</f>
        <v>0</v>
      </c>
      <c r="D26" s="36" t="n">
        <f aca="false">B26-C26</f>
        <v>0</v>
      </c>
      <c r="E26" s="18" t="str">
        <f aca="false">IF(D26&gt;5,"ABOVE AVG",IF(D26&lt;-5,"BELOW AVG","ON PAR"))</f>
        <v>ON PAR</v>
      </c>
      <c r="F26" s="4"/>
      <c r="G26" s="4"/>
      <c r="H26" s="4"/>
      <c r="I26" s="4"/>
      <c r="J26" s="4"/>
    </row>
    <row r="27" customFormat="false" ht="15" hidden="false" customHeight="false" outlineLevel="0" collapsed="false">
      <c r="A27" s="18" t="s">
        <v>26</v>
      </c>
      <c r="B27" s="36" t="n">
        <f aca="false">IFERROR(AVERAGEIF($C$7:$C$21,A27,$F$7:$F$21),0)</f>
        <v>0</v>
      </c>
      <c r="C27" s="36" t="n">
        <f aca="false">IFERROR(AVERAGEIF('Auction Log'!$C$5:$C$304,A27,'Auction Log'!$K$5:$K$304),0)</f>
        <v>0</v>
      </c>
      <c r="D27" s="36" t="n">
        <f aca="false">B27-C27</f>
        <v>0</v>
      </c>
      <c r="E27" s="18" t="str">
        <f aca="false">IF(D27&gt;5,"ABOVE AVG",IF(D27&lt;-5,"BELOW AVG","ON PAR"))</f>
        <v>ON PAR</v>
      </c>
      <c r="F27" s="4"/>
      <c r="G27" s="4"/>
      <c r="H27" s="4"/>
      <c r="I27" s="4"/>
      <c r="J27" s="4"/>
    </row>
    <row r="28" customFormat="false" ht="15" hidden="false" customHeight="false" outlineLevel="0" collapsed="false">
      <c r="A28" s="18" t="s">
        <v>30</v>
      </c>
      <c r="B28" s="36" t="n">
        <f aca="false">IFERROR(AVERAGEIF($C$7:$C$21,A28,$F$7:$F$21),0)</f>
        <v>0</v>
      </c>
      <c r="C28" s="36" t="n">
        <f aca="false">IFERROR(AVERAGEIF('Auction Log'!$C$5:$C$304,A28,'Auction Log'!$K$5:$K$304),0)</f>
        <v>0</v>
      </c>
      <c r="D28" s="36" t="n">
        <f aca="false">B28-C28</f>
        <v>0</v>
      </c>
      <c r="E28" s="18" t="str">
        <f aca="false">IF(D28&gt;5,"ABOVE AVG",IF(D28&lt;-5,"BELOW AVG","ON PAR"))</f>
        <v>ON PAR</v>
      </c>
      <c r="F28" s="4"/>
      <c r="G28" s="4"/>
      <c r="H28" s="4"/>
      <c r="I28" s="4"/>
      <c r="J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</sheetData>
  <mergeCells count="3">
    <mergeCell ref="A1:J1"/>
    <mergeCell ref="A2:J2"/>
    <mergeCell ref="A23:E23"/>
  </mergeCells>
  <conditionalFormatting sqref="H7:H21">
    <cfRule type="cellIs" priority="2" operator="greaterThan" aboveAverage="0" equalAverage="0" bottom="0" percent="0" rank="0" text="" dxfId="97">
      <formula>0</formula>
    </cfRule>
    <cfRule type="cellIs" priority="3" operator="lessThan" aboveAverage="0" equalAverage="0" bottom="0" percent="0" rank="0" text="" dxfId="98">
      <formula>0</formula>
    </cfRule>
  </conditionalFormatting>
  <conditionalFormatting sqref="J7:J21">
    <cfRule type="containsText" priority="4" operator="containsText" aboveAverage="0" equalAverage="0" bottom="0" percent="0" rank="0" text="STEAL" dxfId="99">
      <formula>NOT(ISERROR(SEARCH("STEAL",J7)))</formula>
    </cfRule>
    <cfRule type="containsText" priority="5" operator="containsText" aboveAverage="0" equalAverage="0" bottom="0" percent="0" rank="0" text="OVERPAY" dxfId="100">
      <formula>NOT(ISERROR(SEARCH("OVERPAY",J7)))</formula>
    </cfRule>
  </conditionalFormatting>
  <conditionalFormatting sqref="D25:D28">
    <cfRule type="cellIs" priority="6" operator="greaterThan" aboveAverage="0" equalAverage="0" bottom="0" percent="0" rank="0" text="" dxfId="101">
      <formula>0</formula>
    </cfRule>
    <cfRule type="cellIs" priority="7" operator="lessThan" aboveAverage="0" equalAverage="0" bottom="0" percent="0" rank="0" text="" dxfId="10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H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54"/>
    <col collapsed="false" customWidth="true" hidden="false" outlineLevel="0" max="8" min="7" style="1" width="12"/>
  </cols>
  <sheetData>
    <row r="1" customFormat="false" ht="30" hidden="false" customHeight="true" outlineLevel="0" collapsed="false">
      <c r="A1" s="2" t="s">
        <v>518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519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520</v>
      </c>
      <c r="B4" s="5"/>
      <c r="C4" s="5"/>
      <c r="D4" s="5"/>
      <c r="E4" s="5"/>
      <c r="F4" s="5"/>
      <c r="G4" s="5"/>
      <c r="H4" s="5"/>
    </row>
    <row r="5" customFormat="false" ht="14.25" hidden="false" customHeight="true" outlineLevel="0" collapsed="false">
      <c r="A5" s="62" t="s">
        <v>521</v>
      </c>
      <c r="B5" s="62"/>
      <c r="C5" s="62"/>
      <c r="D5" s="62"/>
      <c r="E5" s="62"/>
      <c r="F5" s="62"/>
      <c r="G5" s="62"/>
      <c r="H5" s="62"/>
    </row>
    <row r="6" customFormat="false" ht="14.25" hidden="false" customHeight="true" outlineLevel="0" collapsed="false">
      <c r="A6" s="27" t="s">
        <v>522</v>
      </c>
      <c r="B6" s="27"/>
      <c r="C6" s="27"/>
      <c r="D6" s="27"/>
      <c r="E6" s="27"/>
      <c r="F6" s="27"/>
      <c r="G6" s="27"/>
      <c r="H6" s="27"/>
    </row>
    <row r="7" customFormat="false" ht="14.25" hidden="false" customHeight="true" outlineLevel="0" collapsed="false">
      <c r="A7" s="62" t="s">
        <v>523</v>
      </c>
      <c r="B7" s="62"/>
      <c r="C7" s="62"/>
      <c r="D7" s="62"/>
      <c r="E7" s="62"/>
      <c r="F7" s="62"/>
      <c r="G7" s="62"/>
      <c r="H7" s="62"/>
    </row>
    <row r="8" customFormat="false" ht="14.25" hidden="false" customHeight="true" outlineLevel="0" collapsed="false">
      <c r="A8" s="27" t="s">
        <v>524</v>
      </c>
      <c r="B8" s="27"/>
      <c r="C8" s="27"/>
      <c r="D8" s="27"/>
      <c r="E8" s="27"/>
      <c r="F8" s="27"/>
      <c r="G8" s="27"/>
      <c r="H8" s="27"/>
    </row>
    <row r="9" customFormat="false" ht="14.25" hidden="false" customHeight="true" outlineLevel="0" collapsed="false">
      <c r="A9" s="62" t="s">
        <v>525</v>
      </c>
      <c r="B9" s="62"/>
      <c r="C9" s="62"/>
      <c r="D9" s="62"/>
      <c r="E9" s="62"/>
      <c r="F9" s="62"/>
      <c r="G9" s="62"/>
      <c r="H9" s="62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5" t="s">
        <v>526</v>
      </c>
      <c r="B11" s="5"/>
      <c r="C11" s="5"/>
      <c r="D11" s="5"/>
      <c r="E11" s="5" t="s">
        <v>527</v>
      </c>
      <c r="F11" s="5"/>
      <c r="G11" s="5"/>
      <c r="H11" s="5"/>
    </row>
    <row r="12" customFormat="false" ht="27.75" hidden="false" customHeight="true" outlineLevel="0" collapsed="false">
      <c r="A12" s="10" t="s">
        <v>528</v>
      </c>
      <c r="B12" s="10" t="s">
        <v>471</v>
      </c>
      <c r="C12" s="10" t="s">
        <v>529</v>
      </c>
      <c r="D12" s="4"/>
      <c r="E12" s="10" t="s">
        <v>530</v>
      </c>
      <c r="F12" s="10" t="s">
        <v>35</v>
      </c>
      <c r="G12" s="10"/>
      <c r="H12" s="10"/>
    </row>
    <row r="13" customFormat="false" ht="14.25" hidden="false" customHeight="true" outlineLevel="0" collapsed="false">
      <c r="A13" s="63" t="s">
        <v>531</v>
      </c>
      <c r="B13" s="64" t="n">
        <v>62</v>
      </c>
      <c r="C13" s="63" t="s">
        <v>532</v>
      </c>
      <c r="D13" s="4"/>
      <c r="E13" s="65" t="s">
        <v>533</v>
      </c>
      <c r="F13" s="65" t="s">
        <v>534</v>
      </c>
      <c r="G13" s="65"/>
      <c r="H13" s="65"/>
    </row>
    <row r="14" customFormat="false" ht="15" hidden="false" customHeight="false" outlineLevel="0" collapsed="false">
      <c r="A14" s="63" t="s">
        <v>535</v>
      </c>
      <c r="B14" s="64" t="n">
        <v>34</v>
      </c>
      <c r="C14" s="63" t="s">
        <v>536</v>
      </c>
      <c r="D14" s="4"/>
      <c r="E14" s="65"/>
      <c r="F14" s="65"/>
      <c r="G14" s="65"/>
      <c r="H14" s="65"/>
    </row>
    <row r="15" customFormat="false" ht="14.25" hidden="false" customHeight="true" outlineLevel="0" collapsed="false">
      <c r="A15" s="63" t="s">
        <v>537</v>
      </c>
      <c r="B15" s="64" t="n">
        <v>25</v>
      </c>
      <c r="C15" s="63" t="s">
        <v>538</v>
      </c>
      <c r="D15" s="4"/>
      <c r="E15" s="66" t="s">
        <v>539</v>
      </c>
      <c r="F15" s="66" t="s">
        <v>540</v>
      </c>
      <c r="G15" s="66"/>
      <c r="H15" s="66"/>
    </row>
    <row r="16" customFormat="false" ht="15" hidden="false" customHeight="false" outlineLevel="0" collapsed="false">
      <c r="A16" s="63" t="s">
        <v>541</v>
      </c>
      <c r="B16" s="64" t="n">
        <v>20</v>
      </c>
      <c r="C16" s="63" t="s">
        <v>542</v>
      </c>
      <c r="D16" s="4"/>
      <c r="E16" s="66"/>
      <c r="F16" s="66"/>
      <c r="G16" s="66"/>
      <c r="H16" s="66"/>
    </row>
    <row r="17" customFormat="false" ht="14.25" hidden="false" customHeight="true" outlineLevel="0" collapsed="false">
      <c r="A17" s="63" t="s">
        <v>543</v>
      </c>
      <c r="B17" s="64" t="n">
        <v>15</v>
      </c>
      <c r="C17" s="63" t="s">
        <v>544</v>
      </c>
      <c r="D17" s="4"/>
      <c r="E17" s="65" t="s">
        <v>545</v>
      </c>
      <c r="F17" s="65" t="s">
        <v>546</v>
      </c>
      <c r="G17" s="65"/>
      <c r="H17" s="65"/>
    </row>
    <row r="18" customFormat="false" ht="15" hidden="false" customHeight="false" outlineLevel="0" collapsed="false">
      <c r="A18" s="63" t="s">
        <v>16</v>
      </c>
      <c r="B18" s="64" t="n">
        <v>9</v>
      </c>
      <c r="C18" s="63" t="s">
        <v>547</v>
      </c>
      <c r="D18" s="4"/>
      <c r="E18" s="65"/>
      <c r="F18" s="65"/>
      <c r="G18" s="65"/>
      <c r="H18" s="65"/>
    </row>
    <row r="19" customFormat="false" ht="14.25" hidden="false" customHeight="true" outlineLevel="0" collapsed="false">
      <c r="A19" s="63" t="s">
        <v>30</v>
      </c>
      <c r="B19" s="64" t="n">
        <v>10</v>
      </c>
      <c r="C19" s="63" t="s">
        <v>548</v>
      </c>
      <c r="D19" s="4"/>
      <c r="E19" s="66" t="s">
        <v>549</v>
      </c>
      <c r="F19" s="66" t="s">
        <v>550</v>
      </c>
      <c r="G19" s="66"/>
      <c r="H19" s="66"/>
    </row>
    <row r="20" customFormat="false" ht="15" hidden="false" customHeight="false" outlineLevel="0" collapsed="false">
      <c r="A20" s="63" t="s">
        <v>551</v>
      </c>
      <c r="B20" s="64" t="n">
        <v>23</v>
      </c>
      <c r="C20" s="63" t="s">
        <v>552</v>
      </c>
      <c r="D20" s="4"/>
      <c r="E20" s="66"/>
      <c r="F20" s="66"/>
      <c r="G20" s="66"/>
      <c r="H20" s="66"/>
    </row>
    <row r="21" customFormat="false" ht="15" hidden="false" customHeight="false" outlineLevel="0" collapsed="false">
      <c r="A21" s="63" t="s">
        <v>553</v>
      </c>
      <c r="B21" s="64" t="n">
        <v>2</v>
      </c>
      <c r="C21" s="63" t="s">
        <v>554</v>
      </c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A23" s="5" t="s">
        <v>555</v>
      </c>
      <c r="B23" s="5"/>
      <c r="C23" s="5"/>
      <c r="D23" s="5"/>
      <c r="E23" s="5"/>
      <c r="F23" s="5"/>
      <c r="G23" s="5"/>
      <c r="H23" s="5"/>
    </row>
    <row r="24" customFormat="false" ht="27.75" hidden="false" customHeight="true" outlineLevel="0" collapsed="false">
      <c r="A24" s="10" t="s">
        <v>556</v>
      </c>
      <c r="B24" s="10" t="s">
        <v>557</v>
      </c>
      <c r="C24" s="10" t="s">
        <v>558</v>
      </c>
      <c r="D24" s="10"/>
      <c r="E24" s="10"/>
      <c r="F24" s="10"/>
      <c r="G24" s="10"/>
      <c r="H24" s="10"/>
    </row>
    <row r="25" customFormat="false" ht="14.25" hidden="false" customHeight="true" outlineLevel="0" collapsed="false">
      <c r="A25" s="65" t="s">
        <v>559</v>
      </c>
      <c r="B25" s="65" t="s">
        <v>560</v>
      </c>
      <c r="C25" s="65" t="s">
        <v>561</v>
      </c>
      <c r="D25" s="65"/>
      <c r="E25" s="65"/>
      <c r="F25" s="65"/>
      <c r="G25" s="65"/>
      <c r="H25" s="65"/>
    </row>
    <row r="26" customFormat="false" ht="28.5" hidden="false" customHeight="true" outlineLevel="0" collapsed="false">
      <c r="A26" s="66" t="s">
        <v>562</v>
      </c>
      <c r="B26" s="66" t="s">
        <v>563</v>
      </c>
      <c r="C26" s="66" t="s">
        <v>564</v>
      </c>
      <c r="D26" s="66"/>
      <c r="E26" s="66"/>
      <c r="F26" s="66"/>
      <c r="G26" s="66"/>
      <c r="H26" s="66"/>
    </row>
    <row r="27" customFormat="false" ht="14.25" hidden="false" customHeight="true" outlineLevel="0" collapsed="false">
      <c r="A27" s="65" t="s">
        <v>565</v>
      </c>
      <c r="B27" s="65" t="s">
        <v>566</v>
      </c>
      <c r="C27" s="65" t="s">
        <v>567</v>
      </c>
      <c r="D27" s="65"/>
      <c r="E27" s="65"/>
      <c r="F27" s="65"/>
      <c r="G27" s="65"/>
      <c r="H27" s="65"/>
    </row>
    <row r="28" customFormat="false" ht="14.25" hidden="false" customHeight="true" outlineLevel="0" collapsed="false">
      <c r="A28" s="66" t="s">
        <v>568</v>
      </c>
      <c r="B28" s="66" t="s">
        <v>569</v>
      </c>
      <c r="C28" s="66" t="s">
        <v>570</v>
      </c>
      <c r="D28" s="66"/>
      <c r="E28" s="66"/>
      <c r="F28" s="66"/>
      <c r="G28" s="66"/>
      <c r="H28" s="66"/>
    </row>
    <row r="29" customFormat="false" ht="14.25" hidden="false" customHeight="true" outlineLevel="0" collapsed="false">
      <c r="A29" s="65" t="s">
        <v>571</v>
      </c>
      <c r="B29" s="65" t="s">
        <v>572</v>
      </c>
      <c r="C29" s="65" t="s">
        <v>573</v>
      </c>
      <c r="D29" s="65"/>
      <c r="E29" s="65"/>
      <c r="F29" s="65"/>
      <c r="G29" s="65"/>
      <c r="H29" s="65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A32" s="5" t="s">
        <v>574</v>
      </c>
      <c r="B32" s="5"/>
      <c r="C32" s="5"/>
      <c r="D32" s="5"/>
      <c r="E32" s="5"/>
      <c r="F32" s="5"/>
      <c r="G32" s="5"/>
      <c r="H32" s="5"/>
    </row>
    <row r="33" customFormat="false" ht="27.75" hidden="false" customHeight="true" outlineLevel="0" collapsed="false">
      <c r="A33" s="10" t="s">
        <v>7</v>
      </c>
      <c r="B33" s="10" t="s">
        <v>58</v>
      </c>
      <c r="C33" s="10" t="s">
        <v>19</v>
      </c>
      <c r="D33" s="10" t="s">
        <v>500</v>
      </c>
      <c r="E33" s="10" t="s">
        <v>20</v>
      </c>
      <c r="F33" s="10" t="s">
        <v>575</v>
      </c>
      <c r="G33" s="4"/>
      <c r="H33" s="4"/>
    </row>
    <row r="34" customFormat="false" ht="28.5" hidden="false" customHeight="true" outlineLevel="0" collapsed="false">
      <c r="A34" s="15" t="s">
        <v>95</v>
      </c>
      <c r="B34" s="15" t="s">
        <v>21</v>
      </c>
      <c r="C34" s="16" t="n">
        <v>59</v>
      </c>
      <c r="D34" s="16" t="n">
        <v>66</v>
      </c>
      <c r="E34" s="16" t="n">
        <v>62</v>
      </c>
      <c r="F34" s="30" t="s">
        <v>576</v>
      </c>
      <c r="G34" s="4"/>
      <c r="H34" s="4"/>
    </row>
    <row r="35" customFormat="false" ht="15" hidden="false" customHeight="false" outlineLevel="0" collapsed="false">
      <c r="A35" s="18" t="s">
        <v>99</v>
      </c>
      <c r="B35" s="18" t="s">
        <v>26</v>
      </c>
      <c r="C35" s="19" t="n">
        <v>58</v>
      </c>
      <c r="D35" s="19" t="n">
        <v>65</v>
      </c>
      <c r="E35" s="19" t="n">
        <v>61</v>
      </c>
      <c r="F35" s="32" t="s">
        <v>577</v>
      </c>
      <c r="G35" s="4"/>
      <c r="H35" s="4"/>
    </row>
    <row r="36" customFormat="false" ht="28.5" hidden="false" customHeight="true" outlineLevel="0" collapsed="false">
      <c r="A36" s="18" t="s">
        <v>101</v>
      </c>
      <c r="B36" s="18" t="s">
        <v>21</v>
      </c>
      <c r="C36" s="19" t="n">
        <v>58</v>
      </c>
      <c r="D36" s="19" t="n">
        <v>65</v>
      </c>
      <c r="E36" s="19" t="n">
        <v>61</v>
      </c>
      <c r="F36" s="32" t="s">
        <v>578</v>
      </c>
      <c r="G36" s="4"/>
      <c r="H36" s="4"/>
    </row>
    <row r="37" customFormat="false" ht="28.5" hidden="false" customHeight="true" outlineLevel="0" collapsed="false">
      <c r="A37" s="18" t="s">
        <v>103</v>
      </c>
      <c r="B37" s="18" t="s">
        <v>26</v>
      </c>
      <c r="C37" s="19" t="n">
        <v>55</v>
      </c>
      <c r="D37" s="19" t="n">
        <v>63</v>
      </c>
      <c r="E37" s="19" t="n">
        <v>59</v>
      </c>
      <c r="F37" s="32" t="s">
        <v>579</v>
      </c>
      <c r="G37" s="4"/>
      <c r="H37" s="4"/>
    </row>
    <row r="38" customFormat="false" ht="15" hidden="false" customHeight="false" outlineLevel="0" collapsed="false">
      <c r="A38" s="18" t="s">
        <v>109</v>
      </c>
      <c r="B38" s="18" t="s">
        <v>26</v>
      </c>
      <c r="C38" s="19" t="n">
        <v>53</v>
      </c>
      <c r="D38" s="19" t="n">
        <v>60</v>
      </c>
      <c r="E38" s="19" t="n">
        <v>56</v>
      </c>
      <c r="F38" s="32" t="s">
        <v>580</v>
      </c>
      <c r="G38" s="4"/>
      <c r="H38" s="4"/>
    </row>
    <row r="39" customFormat="false" ht="28.5" hidden="false" customHeight="true" outlineLevel="0" collapsed="false">
      <c r="A39" s="18" t="s">
        <v>114</v>
      </c>
      <c r="B39" s="18" t="s">
        <v>26</v>
      </c>
      <c r="C39" s="19" t="n">
        <v>39</v>
      </c>
      <c r="D39" s="19" t="n">
        <v>48</v>
      </c>
      <c r="E39" s="19" t="n">
        <v>44</v>
      </c>
      <c r="F39" s="32" t="s">
        <v>581</v>
      </c>
      <c r="G39" s="4"/>
      <c r="H39" s="4"/>
    </row>
    <row r="40" customFormat="false" ht="15" hidden="false" customHeight="false" outlineLevel="0" collapsed="false">
      <c r="A40" s="18" t="s">
        <v>117</v>
      </c>
      <c r="B40" s="18" t="s">
        <v>26</v>
      </c>
      <c r="C40" s="19" t="n">
        <v>39</v>
      </c>
      <c r="D40" s="19" t="n">
        <v>46</v>
      </c>
      <c r="E40" s="19" t="n">
        <v>42</v>
      </c>
      <c r="F40" s="32" t="s">
        <v>582</v>
      </c>
      <c r="G40" s="4"/>
      <c r="H40" s="4"/>
    </row>
    <row r="41" customFormat="false" ht="28.5" hidden="false" customHeight="true" outlineLevel="0" collapsed="false">
      <c r="A41" s="18" t="s">
        <v>112</v>
      </c>
      <c r="B41" s="18" t="s">
        <v>21</v>
      </c>
      <c r="C41" s="19" t="n">
        <v>43</v>
      </c>
      <c r="D41" s="19" t="n">
        <v>51</v>
      </c>
      <c r="E41" s="19" t="n">
        <v>47</v>
      </c>
      <c r="F41" s="32" t="s">
        <v>583</v>
      </c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584</v>
      </c>
      <c r="B43" s="5"/>
      <c r="C43" s="5"/>
      <c r="D43" s="5"/>
      <c r="E43" s="5"/>
      <c r="F43" s="5"/>
      <c r="G43" s="5"/>
      <c r="H43" s="5"/>
    </row>
    <row r="44" customFormat="false" ht="27.75" hidden="false" customHeight="true" outlineLevel="0" collapsed="false">
      <c r="A44" s="10" t="s">
        <v>7</v>
      </c>
      <c r="B44" s="10" t="s">
        <v>58</v>
      </c>
      <c r="C44" s="10" t="s">
        <v>19</v>
      </c>
      <c r="D44" s="10" t="s">
        <v>500</v>
      </c>
      <c r="E44" s="10" t="s">
        <v>20</v>
      </c>
      <c r="F44" s="10" t="s">
        <v>585</v>
      </c>
      <c r="G44" s="4"/>
      <c r="H44" s="4"/>
    </row>
    <row r="45" customFormat="false" ht="28.5" hidden="false" customHeight="true" outlineLevel="0" collapsed="false">
      <c r="A45" s="15" t="s">
        <v>226</v>
      </c>
      <c r="B45" s="15" t="s">
        <v>16</v>
      </c>
      <c r="C45" s="16" t="n">
        <v>7</v>
      </c>
      <c r="D45" s="16" t="n">
        <v>10</v>
      </c>
      <c r="E45" s="16" t="n">
        <v>8</v>
      </c>
      <c r="F45" s="30" t="s">
        <v>586</v>
      </c>
      <c r="G45" s="4"/>
      <c r="H45" s="4"/>
    </row>
    <row r="46" customFormat="false" ht="28.5" hidden="false" customHeight="true" outlineLevel="0" collapsed="false">
      <c r="A46" s="18" t="s">
        <v>221</v>
      </c>
      <c r="B46" s="18" t="s">
        <v>16</v>
      </c>
      <c r="C46" s="19" t="n">
        <v>9</v>
      </c>
      <c r="D46" s="19" t="n">
        <v>12</v>
      </c>
      <c r="E46" s="19" t="n">
        <v>10</v>
      </c>
      <c r="F46" s="32" t="s">
        <v>587</v>
      </c>
      <c r="G46" s="4"/>
      <c r="H46" s="4"/>
    </row>
    <row r="47" customFormat="false" ht="15" hidden="false" customHeight="false" outlineLevel="0" collapsed="false">
      <c r="A47" s="18" t="s">
        <v>195</v>
      </c>
      <c r="B47" s="18" t="s">
        <v>21</v>
      </c>
      <c r="C47" s="19" t="n">
        <v>19</v>
      </c>
      <c r="D47" s="19" t="n">
        <v>18</v>
      </c>
      <c r="E47" s="19" t="n">
        <v>16</v>
      </c>
      <c r="F47" s="32" t="s">
        <v>588</v>
      </c>
      <c r="G47" s="4"/>
      <c r="H47" s="4"/>
    </row>
    <row r="48" customFormat="false" ht="28.5" hidden="false" customHeight="true" outlineLevel="0" collapsed="false">
      <c r="A48" s="18" t="s">
        <v>217</v>
      </c>
      <c r="B48" s="18" t="s">
        <v>21</v>
      </c>
      <c r="C48" s="19" t="n">
        <v>15</v>
      </c>
      <c r="D48" s="19" t="n">
        <v>13</v>
      </c>
      <c r="E48" s="19" t="n">
        <v>11</v>
      </c>
      <c r="F48" s="32" t="s">
        <v>589</v>
      </c>
      <c r="G48" s="4"/>
      <c r="H48" s="4"/>
    </row>
    <row r="49" customFormat="false" ht="15" hidden="false" customHeight="false" outlineLevel="0" collapsed="false">
      <c r="A49" s="18" t="s">
        <v>71</v>
      </c>
      <c r="B49" s="18" t="s">
        <v>21</v>
      </c>
      <c r="C49" s="19" t="n">
        <v>16</v>
      </c>
      <c r="D49" s="19" t="n">
        <v>15</v>
      </c>
      <c r="E49" s="19" t="n">
        <v>13</v>
      </c>
      <c r="F49" s="32" t="s">
        <v>590</v>
      </c>
      <c r="G49" s="4"/>
      <c r="H49" s="4"/>
    </row>
    <row r="50" customFormat="false" ht="15" hidden="false" customHeight="false" outlineLevel="0" collapsed="false">
      <c r="A50" s="18" t="s">
        <v>211</v>
      </c>
      <c r="B50" s="18" t="s">
        <v>21</v>
      </c>
      <c r="C50" s="19" t="n">
        <v>14</v>
      </c>
      <c r="D50" s="19" t="n">
        <v>14</v>
      </c>
      <c r="E50" s="19" t="n">
        <v>12</v>
      </c>
      <c r="F50" s="32" t="s">
        <v>591</v>
      </c>
      <c r="G50" s="4"/>
      <c r="H50" s="4"/>
    </row>
    <row r="51" customFormat="false" ht="28.5" hidden="false" customHeight="true" outlineLevel="0" collapsed="false">
      <c r="A51" s="18" t="s">
        <v>133</v>
      </c>
      <c r="B51" s="18" t="s">
        <v>26</v>
      </c>
      <c r="C51" s="19" t="n">
        <v>32</v>
      </c>
      <c r="D51" s="19" t="n">
        <v>37</v>
      </c>
      <c r="E51" s="19" t="n">
        <v>34</v>
      </c>
      <c r="F51" s="32" t="s">
        <v>592</v>
      </c>
      <c r="G51" s="4"/>
      <c r="H51" s="4"/>
    </row>
    <row r="52" customFormat="false" ht="15" hidden="false" customHeight="false" outlineLevel="0" collapsed="false">
      <c r="A52" s="18" t="s">
        <v>153</v>
      </c>
      <c r="B52" s="18" t="s">
        <v>26</v>
      </c>
      <c r="C52" s="19" t="n">
        <v>29</v>
      </c>
      <c r="D52" s="19" t="n">
        <v>30</v>
      </c>
      <c r="E52" s="19" t="n">
        <v>27</v>
      </c>
      <c r="F52" s="32" t="s">
        <v>593</v>
      </c>
      <c r="G52" s="4"/>
      <c r="H52" s="4"/>
    </row>
    <row r="53" customFormat="false" ht="15" hidden="false" customHeight="false" outlineLevel="0" collapsed="false">
      <c r="A53" s="18" t="s">
        <v>170</v>
      </c>
      <c r="B53" s="18" t="s">
        <v>26</v>
      </c>
      <c r="C53" s="19" t="n">
        <v>21</v>
      </c>
      <c r="D53" s="19" t="n">
        <v>23</v>
      </c>
      <c r="E53" s="19" t="n">
        <v>21</v>
      </c>
      <c r="F53" s="32" t="s">
        <v>594</v>
      </c>
      <c r="G53" s="4"/>
      <c r="H53" s="4"/>
    </row>
    <row r="54" customFormat="false" ht="15" hidden="false" customHeight="false" outlineLevel="0" collapsed="false">
      <c r="A54" s="18" t="s">
        <v>208</v>
      </c>
      <c r="B54" s="18" t="s">
        <v>26</v>
      </c>
      <c r="C54" s="19" t="n">
        <v>14</v>
      </c>
      <c r="D54" s="19" t="n">
        <v>14</v>
      </c>
      <c r="E54" s="19" t="n">
        <v>12</v>
      </c>
      <c r="F54" s="32" t="s">
        <v>595</v>
      </c>
      <c r="G54" s="4"/>
      <c r="H54" s="4"/>
    </row>
    <row r="55" customFormat="false" ht="15" hidden="false" customHeight="false" outlineLevel="0" collapsed="false">
      <c r="A55" s="18" t="s">
        <v>69</v>
      </c>
      <c r="B55" s="18" t="s">
        <v>26</v>
      </c>
      <c r="C55" s="19" t="n">
        <v>12</v>
      </c>
      <c r="D55" s="19" t="n">
        <v>9</v>
      </c>
      <c r="E55" s="19" t="n">
        <v>8</v>
      </c>
      <c r="F55" s="32" t="s">
        <v>596</v>
      </c>
      <c r="G55" s="4"/>
      <c r="H55" s="4"/>
    </row>
    <row r="56" customFormat="false" ht="15" hidden="false" customHeight="false" outlineLevel="0" collapsed="false">
      <c r="A56" s="18" t="s">
        <v>66</v>
      </c>
      <c r="B56" s="18" t="s">
        <v>26</v>
      </c>
      <c r="C56" s="19" t="n">
        <v>12</v>
      </c>
      <c r="D56" s="19" t="n">
        <v>9</v>
      </c>
      <c r="E56" s="19" t="n">
        <v>8</v>
      </c>
      <c r="F56" s="32" t="s">
        <v>597</v>
      </c>
      <c r="G56" s="4"/>
      <c r="H56" s="4"/>
    </row>
    <row r="57" customFormat="false" ht="23.85" hidden="false" customHeight="false" outlineLevel="0" collapsed="false">
      <c r="A57" s="18" t="s">
        <v>200</v>
      </c>
      <c r="B57" s="18" t="s">
        <v>26</v>
      </c>
      <c r="C57" s="19" t="n">
        <v>17</v>
      </c>
      <c r="D57" s="19" t="n">
        <v>16</v>
      </c>
      <c r="E57" s="19" t="n">
        <v>14</v>
      </c>
      <c r="F57" s="32" t="s">
        <v>598</v>
      </c>
      <c r="G57" s="4"/>
      <c r="H57" s="4"/>
    </row>
    <row r="58" customFormat="false" ht="15" hidden="false" customHeight="false" outlineLevel="0" collapsed="false">
      <c r="A58" s="18" t="s">
        <v>70</v>
      </c>
      <c r="B58" s="18" t="s">
        <v>30</v>
      </c>
      <c r="C58" s="19" t="n">
        <v>16</v>
      </c>
      <c r="D58" s="19" t="n">
        <v>14</v>
      </c>
      <c r="E58" s="19" t="n">
        <v>12</v>
      </c>
      <c r="F58" s="32" t="s">
        <v>599</v>
      </c>
      <c r="G58" s="4"/>
      <c r="H58" s="4"/>
    </row>
    <row r="59" customFormat="false" ht="15" hidden="false" customHeight="false" outlineLevel="0" collapsed="false">
      <c r="A59" s="18" t="s">
        <v>212</v>
      </c>
      <c r="B59" s="18" t="s">
        <v>30</v>
      </c>
      <c r="C59" s="19" t="n">
        <v>15</v>
      </c>
      <c r="D59" s="19" t="n">
        <v>14</v>
      </c>
      <c r="E59" s="19" t="n">
        <v>12</v>
      </c>
      <c r="F59" s="32" t="s">
        <v>600</v>
      </c>
      <c r="G59" s="4"/>
      <c r="H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5" hidden="false" customHeight="true" outlineLevel="0" collapsed="false">
      <c r="A62" s="5" t="s">
        <v>601</v>
      </c>
      <c r="B62" s="5"/>
      <c r="C62" s="5"/>
      <c r="D62" s="5"/>
      <c r="E62" s="5"/>
      <c r="F62" s="5"/>
      <c r="G62" s="5"/>
      <c r="H62" s="5"/>
    </row>
    <row r="63" customFormat="false" ht="27.75" hidden="false" customHeight="true" outlineLevel="0" collapsed="false">
      <c r="A63" s="10" t="s">
        <v>7</v>
      </c>
      <c r="B63" s="10" t="s">
        <v>58</v>
      </c>
      <c r="C63" s="10" t="s">
        <v>19</v>
      </c>
      <c r="D63" s="10" t="s">
        <v>500</v>
      </c>
      <c r="E63" s="10" t="s">
        <v>20</v>
      </c>
      <c r="F63" s="10" t="s">
        <v>602</v>
      </c>
      <c r="G63" s="4"/>
      <c r="H63" s="4"/>
    </row>
    <row r="64" customFormat="false" ht="15" hidden="false" customHeight="false" outlineLevel="0" collapsed="false">
      <c r="A64" s="15" t="s">
        <v>105</v>
      </c>
      <c r="B64" s="15" t="s">
        <v>26</v>
      </c>
      <c r="C64" s="16" t="n">
        <v>59</v>
      </c>
      <c r="D64" s="16" t="n">
        <v>62</v>
      </c>
      <c r="E64" s="16" t="n">
        <v>58</v>
      </c>
      <c r="F64" s="30" t="s">
        <v>108</v>
      </c>
      <c r="G64" s="4"/>
      <c r="H64" s="4"/>
    </row>
    <row r="65" customFormat="false" ht="28.5" hidden="false" customHeight="true" outlineLevel="0" collapsed="false">
      <c r="A65" s="18" t="s">
        <v>145</v>
      </c>
      <c r="B65" s="18" t="s">
        <v>21</v>
      </c>
      <c r="C65" s="19" t="n">
        <v>32</v>
      </c>
      <c r="D65" s="19" t="n">
        <v>34</v>
      </c>
      <c r="E65" s="19" t="n">
        <v>31</v>
      </c>
      <c r="F65" s="32" t="s">
        <v>146</v>
      </c>
      <c r="G65" s="4"/>
      <c r="H65" s="4"/>
    </row>
    <row r="66" customFormat="false" ht="28.5" hidden="false" customHeight="true" outlineLevel="0" collapsed="false">
      <c r="A66" s="18" t="s">
        <v>159</v>
      </c>
      <c r="B66" s="18" t="s">
        <v>21</v>
      </c>
      <c r="C66" s="19" t="n">
        <v>30</v>
      </c>
      <c r="D66" s="19" t="n">
        <v>29</v>
      </c>
      <c r="E66" s="19" t="n">
        <v>26</v>
      </c>
      <c r="F66" s="32" t="s">
        <v>160</v>
      </c>
      <c r="G66" s="4"/>
      <c r="H66" s="4"/>
    </row>
    <row r="67" customFormat="false" ht="15" hidden="false" customHeight="false" outlineLevel="0" collapsed="false">
      <c r="A67" s="18" t="s">
        <v>161</v>
      </c>
      <c r="B67" s="18" t="s">
        <v>21</v>
      </c>
      <c r="C67" s="19" t="n">
        <v>28</v>
      </c>
      <c r="D67" s="19" t="n">
        <v>28</v>
      </c>
      <c r="E67" s="19" t="n">
        <v>25</v>
      </c>
      <c r="F67" s="32" t="s">
        <v>162</v>
      </c>
      <c r="G67" s="4"/>
      <c r="H67" s="4"/>
    </row>
    <row r="68" customFormat="false" ht="28.5" hidden="false" customHeight="true" outlineLevel="0" collapsed="false">
      <c r="A68" s="18" t="s">
        <v>249</v>
      </c>
      <c r="B68" s="18" t="s">
        <v>16</v>
      </c>
      <c r="C68" s="19" t="n">
        <v>8</v>
      </c>
      <c r="D68" s="19" t="n">
        <v>7</v>
      </c>
      <c r="E68" s="19" t="n">
        <v>6</v>
      </c>
      <c r="F68" s="32" t="s">
        <v>250</v>
      </c>
      <c r="G68" s="4"/>
      <c r="H68" s="4"/>
    </row>
    <row r="69" customFormat="false" ht="28.5" hidden="false" customHeight="true" outlineLevel="0" collapsed="false">
      <c r="A69" s="18" t="s">
        <v>149</v>
      </c>
      <c r="B69" s="18" t="s">
        <v>26</v>
      </c>
      <c r="C69" s="19" t="n">
        <v>30</v>
      </c>
      <c r="D69" s="19" t="n">
        <v>32</v>
      </c>
      <c r="E69" s="19" t="n">
        <v>29</v>
      </c>
      <c r="F69" s="32" t="s">
        <v>151</v>
      </c>
      <c r="G69" s="4"/>
      <c r="H69" s="4"/>
    </row>
    <row r="70" customFormat="false" ht="28.5" hidden="false" customHeight="true" outlineLevel="0" collapsed="false">
      <c r="A70" s="18" t="s">
        <v>172</v>
      </c>
      <c r="B70" s="18" t="s">
        <v>26</v>
      </c>
      <c r="C70" s="19" t="n">
        <v>26</v>
      </c>
      <c r="D70" s="19" t="n">
        <v>23</v>
      </c>
      <c r="E70" s="19" t="n">
        <v>21</v>
      </c>
      <c r="F70" s="32" t="s">
        <v>174</v>
      </c>
      <c r="G70" s="4"/>
      <c r="H70" s="4"/>
    </row>
    <row r="71" customFormat="false" ht="28.5" hidden="false" customHeight="true" outlineLevel="0" collapsed="false">
      <c r="A71" s="18" t="s">
        <v>191</v>
      </c>
      <c r="B71" s="18" t="s">
        <v>30</v>
      </c>
      <c r="C71" s="19" t="n">
        <v>17</v>
      </c>
      <c r="D71" s="19" t="n">
        <v>19</v>
      </c>
      <c r="E71" s="19" t="n">
        <v>17</v>
      </c>
      <c r="F71" s="32" t="s">
        <v>192</v>
      </c>
      <c r="G71" s="4"/>
      <c r="H71" s="4"/>
    </row>
    <row r="72" customFormat="false" ht="28.5" hidden="false" customHeight="true" outlineLevel="0" collapsed="false">
      <c r="A72" s="18" t="s">
        <v>235</v>
      </c>
      <c r="B72" s="18" t="s">
        <v>30</v>
      </c>
      <c r="C72" s="19" t="n">
        <v>12</v>
      </c>
      <c r="D72" s="19" t="n">
        <v>9</v>
      </c>
      <c r="E72" s="19" t="n">
        <v>8</v>
      </c>
      <c r="F72" s="32" t="s">
        <v>236</v>
      </c>
      <c r="G72" s="4"/>
      <c r="H72" s="4"/>
    </row>
    <row r="73" customFormat="false" ht="15" hidden="false" customHeight="false" outlineLevel="0" collapsed="false">
      <c r="A73" s="18" t="s">
        <v>229</v>
      </c>
      <c r="B73" s="18" t="s">
        <v>30</v>
      </c>
      <c r="C73" s="19" t="n">
        <v>11</v>
      </c>
      <c r="D73" s="19" t="n">
        <v>9</v>
      </c>
      <c r="E73" s="19" t="n">
        <v>8</v>
      </c>
      <c r="F73" s="32" t="s">
        <v>230</v>
      </c>
      <c r="G73" s="4"/>
      <c r="H73" s="4"/>
    </row>
    <row r="74" customFormat="false" ht="28.5" hidden="false" customHeight="true" outlineLevel="0" collapsed="false">
      <c r="A74" s="18" t="s">
        <v>237</v>
      </c>
      <c r="B74" s="18" t="s">
        <v>30</v>
      </c>
      <c r="C74" s="19" t="n">
        <v>11</v>
      </c>
      <c r="D74" s="19" t="n">
        <v>8</v>
      </c>
      <c r="E74" s="19" t="n">
        <v>7</v>
      </c>
      <c r="F74" s="32" t="s">
        <v>238</v>
      </c>
      <c r="G74" s="4"/>
      <c r="H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5" hidden="false" customHeight="true" outlineLevel="0" collapsed="false">
      <c r="A76" s="5" t="s">
        <v>603</v>
      </c>
      <c r="B76" s="5"/>
      <c r="C76" s="5"/>
      <c r="D76" s="5"/>
      <c r="E76" s="5"/>
      <c r="F76" s="5"/>
      <c r="G76" s="5"/>
      <c r="H76" s="5"/>
    </row>
    <row r="77" customFormat="false" ht="27.75" hidden="false" customHeight="true" outlineLevel="0" collapsed="false">
      <c r="A77" s="10" t="s">
        <v>7</v>
      </c>
      <c r="B77" s="10" t="s">
        <v>58</v>
      </c>
      <c r="C77" s="10" t="s">
        <v>20</v>
      </c>
      <c r="D77" s="10" t="s">
        <v>59</v>
      </c>
      <c r="E77" s="10" t="s">
        <v>28</v>
      </c>
      <c r="F77" s="10" t="s">
        <v>558</v>
      </c>
      <c r="G77" s="4"/>
      <c r="H77" s="4"/>
    </row>
    <row r="78" customFormat="false" ht="15" hidden="false" customHeight="false" outlineLevel="0" collapsed="false">
      <c r="A78" s="15" t="s">
        <v>63</v>
      </c>
      <c r="B78" s="15" t="str">
        <f aca="false">IFERROR(INDEX('Player Board'!$G$5:$G$304,MATCH(A78,'Player Board'!$A$5:$A$304,0)),"")</f>
        <v>QB</v>
      </c>
      <c r="C78" s="16" t="n">
        <f aca="false">IFERROR(INDEX('Player Board'!$S$5:$S$304,MATCH(A78,'Player Board'!$A$5:$A$304,0)),"")</f>
        <v>8</v>
      </c>
      <c r="D78" s="16" t="n">
        <f aca="false">IFERROR(INDEX('Player Board'!$R$5:$R$304,MATCH(A78,'Player Board'!$A$5:$A$304,0)),"")</f>
        <v>10</v>
      </c>
      <c r="E78" s="15" t="str">
        <f aca="false">IFERROR(INDEX('Player Board'!$D$5:$D$304,MATCH(A78,'Player Board'!$A$5:$A$304,0)),"NOT ON BOARD")</f>
        <v>Available</v>
      </c>
      <c r="F78" s="15" t="s">
        <v>604</v>
      </c>
      <c r="G78" s="4"/>
      <c r="H78" s="4"/>
    </row>
    <row r="79" customFormat="false" ht="15" hidden="false" customHeight="false" outlineLevel="0" collapsed="false">
      <c r="A79" s="18" t="s">
        <v>66</v>
      </c>
      <c r="B79" s="18" t="str">
        <f aca="false">IFERROR(INDEX('Player Board'!$G$5:$G$304,MATCH(A79,'Player Board'!$A$5:$A$304,0)),"")</f>
        <v>WR</v>
      </c>
      <c r="C79" s="19" t="n">
        <f aca="false">IFERROR(INDEX('Player Board'!$S$5:$S$304,MATCH(A79,'Player Board'!$A$5:$A$304,0)),"")</f>
        <v>8</v>
      </c>
      <c r="D79" s="19" t="n">
        <f aca="false">IFERROR(INDEX('Player Board'!$R$5:$R$304,MATCH(A79,'Player Board'!$A$5:$A$304,0)),"")</f>
        <v>9</v>
      </c>
      <c r="E79" s="18" t="str">
        <f aca="false">IFERROR(INDEX('Player Board'!$D$5:$D$304,MATCH(A79,'Player Board'!$A$5:$A$304,0)),"NOT ON BOARD")</f>
        <v>Available</v>
      </c>
      <c r="F79" s="18" t="s">
        <v>605</v>
      </c>
      <c r="G79" s="4"/>
      <c r="H79" s="4"/>
    </row>
    <row r="80" customFormat="false" ht="15" hidden="false" customHeight="false" outlineLevel="0" collapsed="false">
      <c r="A80" s="18" t="s">
        <v>69</v>
      </c>
      <c r="B80" s="18" t="str">
        <f aca="false">IFERROR(INDEX('Player Board'!$G$5:$G$304,MATCH(A80,'Player Board'!$A$5:$A$304,0)),"")</f>
        <v>WR</v>
      </c>
      <c r="C80" s="19" t="n">
        <f aca="false">IFERROR(INDEX('Player Board'!$S$5:$S$304,MATCH(A80,'Player Board'!$A$5:$A$304,0)),"")</f>
        <v>8</v>
      </c>
      <c r="D80" s="19" t="n">
        <f aca="false">IFERROR(INDEX('Player Board'!$R$5:$R$304,MATCH(A80,'Player Board'!$A$5:$A$304,0)),"")</f>
        <v>9</v>
      </c>
      <c r="E80" s="18" t="str">
        <f aca="false">IFERROR(INDEX('Player Board'!$D$5:$D$304,MATCH(A80,'Player Board'!$A$5:$A$304,0)),"NOT ON BOARD")</f>
        <v>Available</v>
      </c>
      <c r="F80" s="18" t="s">
        <v>606</v>
      </c>
      <c r="G80" s="4"/>
      <c r="H80" s="4"/>
    </row>
    <row r="81" customFormat="false" ht="15" hidden="false" customHeight="false" outlineLevel="0" collapsed="false">
      <c r="A81" s="18" t="s">
        <v>70</v>
      </c>
      <c r="B81" s="18" t="str">
        <f aca="false">IFERROR(INDEX('Player Board'!$G$5:$G$304,MATCH(A81,'Player Board'!$A$5:$A$304,0)),"")</f>
        <v>TE</v>
      </c>
      <c r="C81" s="19" t="n">
        <f aca="false">IFERROR(INDEX('Player Board'!$S$5:$S$304,MATCH(A81,'Player Board'!$A$5:$A$304,0)),"")</f>
        <v>12</v>
      </c>
      <c r="D81" s="19" t="n">
        <f aca="false">IFERROR(INDEX('Player Board'!$R$5:$R$304,MATCH(A81,'Player Board'!$A$5:$A$304,0)),"")</f>
        <v>14</v>
      </c>
      <c r="E81" s="18" t="str">
        <f aca="false">IFERROR(INDEX('Player Board'!$D$5:$D$304,MATCH(A81,'Player Board'!$A$5:$A$304,0)),"NOT ON BOARD")</f>
        <v>Available</v>
      </c>
      <c r="F81" s="18" t="s">
        <v>607</v>
      </c>
      <c r="G81" s="4"/>
      <c r="H81" s="4"/>
    </row>
    <row r="82" customFormat="false" ht="15" hidden="false" customHeight="false" outlineLevel="0" collapsed="false">
      <c r="A82" s="18" t="s">
        <v>71</v>
      </c>
      <c r="B82" s="18" t="str">
        <f aca="false">IFERROR(INDEX('Player Board'!$G$5:$G$304,MATCH(A82,'Player Board'!$A$5:$A$304,0)),"")</f>
        <v>RB</v>
      </c>
      <c r="C82" s="19" t="n">
        <f aca="false">IFERROR(INDEX('Player Board'!$S$5:$S$304,MATCH(A82,'Player Board'!$A$5:$A$304,0)),"")</f>
        <v>13</v>
      </c>
      <c r="D82" s="19" t="n">
        <f aca="false">IFERROR(INDEX('Player Board'!$R$5:$R$304,MATCH(A82,'Player Board'!$A$5:$A$304,0)),"")</f>
        <v>15</v>
      </c>
      <c r="E82" s="18" t="str">
        <f aca="false">IFERROR(INDEX('Player Board'!$D$5:$D$304,MATCH(A82,'Player Board'!$A$5:$A$304,0)),"NOT ON BOARD")</f>
        <v>Available</v>
      </c>
      <c r="F82" s="18" t="s">
        <v>608</v>
      </c>
      <c r="G82" s="4"/>
      <c r="H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5" hidden="false" customHeight="true" outlineLevel="0" collapsed="false">
      <c r="A84" s="5" t="s">
        <v>609</v>
      </c>
      <c r="B84" s="5"/>
      <c r="C84" s="5"/>
      <c r="D84" s="5"/>
      <c r="E84" s="5"/>
      <c r="F84" s="5"/>
      <c r="G84" s="5"/>
      <c r="H84" s="5"/>
    </row>
    <row r="85" customFormat="false" ht="15" hidden="false" customHeight="true" outlineLevel="0" collapsed="false">
      <c r="A85" s="59" t="s">
        <v>74</v>
      </c>
      <c r="B85" s="30" t="s">
        <v>610</v>
      </c>
      <c r="C85" s="30"/>
      <c r="D85" s="30"/>
      <c r="E85" s="30"/>
      <c r="F85" s="30"/>
      <c r="G85" s="30"/>
      <c r="H85" s="30"/>
    </row>
    <row r="86" customFormat="false" ht="15" hidden="false" customHeight="true" outlineLevel="0" collapsed="false">
      <c r="A86" s="60" t="s">
        <v>611</v>
      </c>
      <c r="B86" s="32" t="s">
        <v>612</v>
      </c>
      <c r="C86" s="32"/>
      <c r="D86" s="32"/>
      <c r="E86" s="32"/>
      <c r="F86" s="32"/>
      <c r="G86" s="32"/>
      <c r="H86" s="32"/>
    </row>
    <row r="87" customFormat="false" ht="15" hidden="false" customHeight="true" outlineLevel="0" collapsed="false">
      <c r="A87" s="60" t="s">
        <v>613</v>
      </c>
      <c r="B87" s="32" t="s">
        <v>614</v>
      </c>
      <c r="C87" s="32"/>
      <c r="D87" s="32"/>
      <c r="E87" s="32"/>
      <c r="F87" s="32"/>
      <c r="G87" s="32"/>
      <c r="H87" s="32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</row>
  </sheetData>
  <mergeCells count="34">
    <mergeCell ref="A1:H1"/>
    <mergeCell ref="A2:H2"/>
    <mergeCell ref="A4:H4"/>
    <mergeCell ref="A5:H5"/>
    <mergeCell ref="A6:H6"/>
    <mergeCell ref="A7:H7"/>
    <mergeCell ref="A8:H8"/>
    <mergeCell ref="A9:H9"/>
    <mergeCell ref="A11:D11"/>
    <mergeCell ref="E11:H11"/>
    <mergeCell ref="F12:H12"/>
    <mergeCell ref="E13:E14"/>
    <mergeCell ref="F13:H14"/>
    <mergeCell ref="E15:E16"/>
    <mergeCell ref="F15:H16"/>
    <mergeCell ref="E17:E18"/>
    <mergeCell ref="F17:H18"/>
    <mergeCell ref="E19:E20"/>
    <mergeCell ref="F19:H20"/>
    <mergeCell ref="A23:H23"/>
    <mergeCell ref="C24:H24"/>
    <mergeCell ref="C25:H25"/>
    <mergeCell ref="C26:H26"/>
    <mergeCell ref="C27:H27"/>
    <mergeCell ref="C28:H28"/>
    <mergeCell ref="C29:H29"/>
    <mergeCell ref="A32:H32"/>
    <mergeCell ref="A43:H43"/>
    <mergeCell ref="A62:H62"/>
    <mergeCell ref="A76:H76"/>
    <mergeCell ref="A84:H84"/>
    <mergeCell ref="B85:H85"/>
    <mergeCell ref="B86:H86"/>
    <mergeCell ref="B87:H8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90"/>
  </cols>
  <sheetData>
    <row r="1" customFormat="false" ht="30" hidden="false" customHeight="true" outlineLevel="0" collapsed="false">
      <c r="A1" s="2" t="s">
        <v>615</v>
      </c>
      <c r="B1" s="2"/>
      <c r="C1" s="2"/>
      <c r="D1" s="2"/>
    </row>
    <row r="2" customFormat="false" ht="27.75" hidden="false" customHeight="true" outlineLevel="0" collapsed="false">
      <c r="A2" s="3" t="s">
        <v>616</v>
      </c>
      <c r="B2" s="3"/>
      <c r="C2" s="3"/>
      <c r="D2" s="3"/>
    </row>
    <row r="3" customFormat="false" ht="15" hidden="false" customHeight="false" outlineLevel="0" collapsed="false">
      <c r="A3" s="4"/>
      <c r="B3" s="4"/>
      <c r="C3" s="4"/>
      <c r="D3" s="4"/>
    </row>
    <row r="4" customFormat="false" ht="27.75" hidden="false" customHeight="true" outlineLevel="0" collapsed="false">
      <c r="A4" s="10" t="s">
        <v>617</v>
      </c>
      <c r="B4" s="10" t="s">
        <v>618</v>
      </c>
      <c r="C4" s="10" t="s">
        <v>619</v>
      </c>
      <c r="D4" s="10" t="s">
        <v>620</v>
      </c>
    </row>
    <row r="5" customFormat="false" ht="28.5" hidden="false" customHeight="true" outlineLevel="0" collapsed="false">
      <c r="A5" s="30" t="s">
        <v>621</v>
      </c>
      <c r="B5" s="30" t="s">
        <v>622</v>
      </c>
      <c r="C5" s="30" t="s">
        <v>623</v>
      </c>
      <c r="D5" s="30" t="s">
        <v>624</v>
      </c>
    </row>
    <row r="6" customFormat="false" ht="28.5" hidden="false" customHeight="true" outlineLevel="0" collapsed="false">
      <c r="A6" s="32" t="s">
        <v>625</v>
      </c>
      <c r="B6" s="32" t="s">
        <v>626</v>
      </c>
      <c r="C6" s="32" t="s">
        <v>623</v>
      </c>
      <c r="D6" s="32" t="s">
        <v>627</v>
      </c>
    </row>
    <row r="7" customFormat="false" ht="15" hidden="false" customHeight="false" outlineLevel="0" collapsed="false">
      <c r="A7" s="32" t="s">
        <v>628</v>
      </c>
      <c r="B7" s="32" t="s">
        <v>629</v>
      </c>
      <c r="C7" s="32" t="s">
        <v>623</v>
      </c>
      <c r="D7" s="32" t="s">
        <v>630</v>
      </c>
    </row>
    <row r="8" customFormat="false" ht="23.85" hidden="false" customHeight="false" outlineLevel="0" collapsed="false">
      <c r="A8" s="32" t="s">
        <v>631</v>
      </c>
      <c r="B8" s="32" t="s">
        <v>632</v>
      </c>
      <c r="C8" s="32" t="s">
        <v>633</v>
      </c>
      <c r="D8" s="32" t="s">
        <v>634</v>
      </c>
    </row>
    <row r="9" customFormat="false" ht="28.5" hidden="false" customHeight="true" outlineLevel="0" collapsed="false">
      <c r="A9" s="32" t="s">
        <v>635</v>
      </c>
      <c r="B9" s="32" t="s">
        <v>636</v>
      </c>
      <c r="C9" s="32" t="s">
        <v>633</v>
      </c>
      <c r="D9" s="32" t="s">
        <v>637</v>
      </c>
    </row>
    <row r="10" customFormat="false" ht="15" hidden="false" customHeight="false" outlineLevel="0" collapsed="false">
      <c r="A10" s="32" t="s">
        <v>638</v>
      </c>
      <c r="B10" s="32" t="s">
        <v>639</v>
      </c>
      <c r="C10" s="32" t="s">
        <v>623</v>
      </c>
      <c r="D10" s="32" t="s">
        <v>640</v>
      </c>
    </row>
    <row r="11" customFormat="false" ht="28.5" hidden="false" customHeight="true" outlineLevel="0" collapsed="false">
      <c r="A11" s="32" t="s">
        <v>641</v>
      </c>
      <c r="B11" s="32" t="s">
        <v>642</v>
      </c>
      <c r="C11" s="32" t="s">
        <v>623</v>
      </c>
      <c r="D11" s="32" t="s">
        <v>643</v>
      </c>
    </row>
    <row r="12" customFormat="false" ht="23.85" hidden="false" customHeight="false" outlineLevel="0" collapsed="false">
      <c r="A12" s="32" t="s">
        <v>644</v>
      </c>
      <c r="B12" s="32" t="s">
        <v>645</v>
      </c>
      <c r="C12" s="32" t="s">
        <v>646</v>
      </c>
      <c r="D12" s="32" t="s">
        <v>647</v>
      </c>
    </row>
    <row r="13" customFormat="false" ht="28.5" hidden="false" customHeight="true" outlineLevel="0" collapsed="false">
      <c r="A13" s="67" t="s">
        <v>648</v>
      </c>
      <c r="B13" s="67" t="s">
        <v>649</v>
      </c>
      <c r="C13" s="67" t="s">
        <v>623</v>
      </c>
      <c r="D13" s="67" t="s">
        <v>650</v>
      </c>
    </row>
    <row r="14" customFormat="false" ht="28.5" hidden="false" customHeight="true" outlineLevel="0" collapsed="false">
      <c r="A14" s="67" t="s">
        <v>651</v>
      </c>
      <c r="B14" s="67" t="s">
        <v>652</v>
      </c>
      <c r="C14" s="67" t="s">
        <v>623</v>
      </c>
      <c r="D14" s="67" t="s">
        <v>653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25"/>
    <col collapsed="false" customWidth="true" hidden="false" outlineLevel="0" max="4" min="3" style="1" width="11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7" min="10" style="1" width="12"/>
  </cols>
  <sheetData>
    <row r="1" customFormat="false" ht="30" hidden="false" customHeight="true" outlineLevel="0" collapsed="false">
      <c r="A1" s="2" t="s">
        <v>654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7.75" hidden="false" customHeight="true" outlineLevel="0" collapsed="false">
      <c r="A2" s="3" t="s">
        <v>655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5" t="s">
        <v>656</v>
      </c>
      <c r="B4" s="5"/>
      <c r="C4" s="5"/>
      <c r="D4" s="4"/>
      <c r="E4" s="5" t="s">
        <v>657</v>
      </c>
      <c r="F4" s="5"/>
      <c r="G4" s="5"/>
      <c r="H4" s="5"/>
      <c r="I4" s="5"/>
      <c r="J4" s="4"/>
      <c r="K4" s="4"/>
      <c r="L4" s="4"/>
      <c r="M4" s="4"/>
      <c r="N4" s="4"/>
      <c r="O4" s="4"/>
      <c r="P4" s="4"/>
      <c r="Q4" s="4"/>
    </row>
    <row r="5" customFormat="false" ht="27.75" hidden="false" customHeight="true" outlineLevel="0" collapsed="false">
      <c r="A5" s="6" t="s">
        <v>658</v>
      </c>
      <c r="B5" s="15" t="str">
        <f aca="false">IF('Draft HQ'!B8=15,"COMPLETE","INCOMPLETE — "&amp;'Draft HQ'!B9&amp;" slots left")</f>
        <v>INCOMPLETE — 15 slots left</v>
      </c>
      <c r="C5" s="4"/>
      <c r="D5" s="4"/>
      <c r="E5" s="10" t="s">
        <v>8</v>
      </c>
      <c r="F5" s="10" t="s">
        <v>659</v>
      </c>
      <c r="G5" s="10" t="s">
        <v>660</v>
      </c>
      <c r="H5" s="10" t="s">
        <v>517</v>
      </c>
      <c r="I5" s="10" t="s">
        <v>28</v>
      </c>
      <c r="J5" s="4"/>
      <c r="K5" s="4"/>
      <c r="L5" s="4"/>
      <c r="M5" s="4"/>
      <c r="N5" s="4"/>
      <c r="O5" s="4"/>
      <c r="P5" s="4"/>
      <c r="Q5" s="4"/>
    </row>
    <row r="6" customFormat="false" ht="15" hidden="false" customHeight="true" outlineLevel="0" collapsed="false">
      <c r="A6" s="12" t="s">
        <v>661</v>
      </c>
      <c r="B6" s="19" t="n">
        <f aca="false">'Draft HQ'!B6</f>
        <v>0</v>
      </c>
      <c r="C6" s="4"/>
      <c r="D6" s="4"/>
      <c r="E6" s="15" t="s">
        <v>16</v>
      </c>
      <c r="F6" s="16" t="n">
        <f aca="false">SUMIFS('Auction Log'!$E$5:$E$304,'Auction Log'!$D$5:$D$304,"ME",'Auction Log'!$C$5:$C$304,E6)</f>
        <v>0</v>
      </c>
      <c r="G6" s="16" t="n">
        <f aca="false">IF(COUNTIF('Auction Log'!$C$5:$C$304,E6)&gt;=14,SUMIFS('Auction Log'!$E$5:$E$304,'Auction Log'!$C$5:$C$304,E6)/14,INDEX('Draft HQ'!$I$6:$I$11,MATCH(E6,'Draft HQ'!$H$6:$H$11,0)))</f>
        <v>9</v>
      </c>
      <c r="H6" s="16" t="n">
        <f aca="false">F6-G6</f>
        <v>-9</v>
      </c>
      <c r="I6" s="15" t="str">
        <f aca="false">IF('Draft HQ'!$B$8&lt;15,"BUILDING",IF(H6&gt;MAX(2,G6*20%),"OVERSPENT",IF(H6&lt;-MAX(2,G6*20%),"EFFICIENT","ON PLAN")))</f>
        <v>BUILDING</v>
      </c>
      <c r="J6" s="4"/>
      <c r="K6" s="4"/>
      <c r="L6" s="4"/>
      <c r="M6" s="4"/>
      <c r="N6" s="4"/>
      <c r="O6" s="4"/>
      <c r="P6" s="4"/>
      <c r="Q6" s="4"/>
    </row>
    <row r="7" customFormat="false" ht="15" hidden="false" customHeight="true" outlineLevel="0" collapsed="false">
      <c r="A7" s="12" t="s">
        <v>662</v>
      </c>
      <c r="B7" s="19" t="n">
        <f aca="false">SUMIF('Auction Log'!$D$5:$D$304,"ME",'Auction Log'!$G$5:$G$304)</f>
        <v>0</v>
      </c>
      <c r="C7" s="4"/>
      <c r="D7" s="4"/>
      <c r="E7" s="18" t="s">
        <v>21</v>
      </c>
      <c r="F7" s="19" t="n">
        <f aca="false">SUMIFS('Auction Log'!$E$5:$E$304,'Auction Log'!$D$5:$D$304,"ME",'Auction Log'!$C$5:$C$304,E7)</f>
        <v>0</v>
      </c>
      <c r="G7" s="19" t="n">
        <f aca="false">IF(COUNTIF('Auction Log'!$C$5:$C$304,E7)&gt;=14,SUMIFS('Auction Log'!$E$5:$E$304,'Auction Log'!$C$5:$C$304,E7)/14,INDEX('Draft HQ'!$I$6:$I$11,MATCH(E7,'Draft HQ'!$H$6:$H$11,0)))</f>
        <v>90</v>
      </c>
      <c r="H7" s="19" t="n">
        <f aca="false">F7-G7</f>
        <v>-90</v>
      </c>
      <c r="I7" s="18" t="str">
        <f aca="false">IF('Draft HQ'!$B$8&lt;15,"BUILDING",IF(H7&gt;MAX(2,G7*20%),"OVERSPENT",IF(H7&lt;-MAX(2,G7*20%),"EFFICIENT","ON PLAN")))</f>
        <v>BUILDING</v>
      </c>
      <c r="J7" s="4"/>
      <c r="K7" s="4"/>
      <c r="L7" s="4"/>
      <c r="M7" s="4"/>
      <c r="N7" s="4"/>
      <c r="O7" s="4"/>
      <c r="P7" s="4"/>
      <c r="Q7" s="4"/>
    </row>
    <row r="8" customFormat="false" ht="15" hidden="false" customHeight="true" outlineLevel="0" collapsed="false">
      <c r="A8" s="12" t="s">
        <v>663</v>
      </c>
      <c r="B8" s="19" t="n">
        <f aca="false">B7-B6</f>
        <v>0</v>
      </c>
      <c r="C8" s="4"/>
      <c r="D8" s="4"/>
      <c r="E8" s="18" t="s">
        <v>26</v>
      </c>
      <c r="F8" s="19" t="n">
        <f aca="false">SUMIFS('Auction Log'!$E$5:$E$304,'Auction Log'!$D$5:$D$304,"ME",'Auction Log'!$C$5:$C$304,E8)</f>
        <v>0</v>
      </c>
      <c r="G8" s="19" t="n">
        <f aca="false">IF(COUNTIF('Auction Log'!$C$5:$C$304,E8)&gt;=14,SUMIFS('Auction Log'!$E$5:$E$304,'Auction Log'!$C$5:$C$304,E8)/14,INDEX('Draft HQ'!$I$6:$I$11,MATCH(E8,'Draft HQ'!$H$6:$H$11,0)))</f>
        <v>88</v>
      </c>
      <c r="H8" s="19" t="n">
        <f aca="false">F8-G8</f>
        <v>-88</v>
      </c>
      <c r="I8" s="18" t="str">
        <f aca="false">IF('Draft HQ'!$B$8&lt;15,"BUILDING",IF(H8&gt;MAX(2,G8*20%),"OVERSPENT",IF(H8&lt;-MAX(2,G8*20%),"EFFICIENT","ON PLAN")))</f>
        <v>BUILDING</v>
      </c>
      <c r="J8" s="4"/>
      <c r="K8" s="4"/>
      <c r="L8" s="4"/>
      <c r="M8" s="4"/>
      <c r="N8" s="4"/>
      <c r="O8" s="4"/>
      <c r="P8" s="4"/>
      <c r="Q8" s="4"/>
    </row>
    <row r="9" customFormat="false" ht="15" hidden="false" customHeight="true" outlineLevel="0" collapsed="false">
      <c r="A9" s="12" t="s">
        <v>664</v>
      </c>
      <c r="B9" s="36" t="n">
        <f aca="false">SUM('My Roster'!$F$7:$F$21)</f>
        <v>0</v>
      </c>
      <c r="C9" s="4"/>
      <c r="D9" s="4"/>
      <c r="E9" s="18" t="s">
        <v>30</v>
      </c>
      <c r="F9" s="19" t="n">
        <f aca="false">SUMIFS('Auction Log'!$E$5:$E$304,'Auction Log'!$D$5:$D$304,"ME",'Auction Log'!$C$5:$C$304,E9)</f>
        <v>0</v>
      </c>
      <c r="G9" s="19" t="n">
        <f aca="false">IF(COUNTIF('Auction Log'!$C$5:$C$304,E9)&gt;=14,SUMIFS('Auction Log'!$E$5:$E$304,'Auction Log'!$C$5:$C$304,E9)/14,INDEX('Draft HQ'!$I$6:$I$11,MATCH(E9,'Draft HQ'!$H$6:$H$11,0)))</f>
        <v>11</v>
      </c>
      <c r="H9" s="19" t="n">
        <f aca="false">F9-G9</f>
        <v>-11</v>
      </c>
      <c r="I9" s="18" t="str">
        <f aca="false">IF('Draft HQ'!$B$8&lt;15,"BUILDING",IF(H9&gt;MAX(2,G9*20%),"OVERSPENT",IF(H9&lt;-MAX(2,G9*20%),"EFFICIENT","ON PLAN")))</f>
        <v>BUILDING</v>
      </c>
      <c r="J9" s="4"/>
      <c r="K9" s="4"/>
      <c r="L9" s="4"/>
      <c r="M9" s="4"/>
      <c r="N9" s="4"/>
      <c r="O9" s="4"/>
      <c r="P9" s="4"/>
      <c r="Q9" s="4"/>
    </row>
    <row r="10" customFormat="false" ht="15" hidden="false" customHeight="true" outlineLevel="0" collapsed="false">
      <c r="A10" s="12" t="s">
        <v>665</v>
      </c>
      <c r="B10" s="36" t="n">
        <f aca="false">IF('Draft HQ'!B15&lt;210,SUMIFS('Player Board'!$AA$5:$AA$304,'Player Board'!$W$5:$W$304,"YES")/14,SUM('Auction Log'!$K$5:$K$304)/14)</f>
        <v>2612.35714285714</v>
      </c>
      <c r="C10" s="4"/>
      <c r="D10" s="4"/>
      <c r="E10" s="18" t="s">
        <v>34</v>
      </c>
      <c r="F10" s="19" t="n">
        <f aca="false">SUMIFS('Auction Log'!$E$5:$E$304,'Auction Log'!$D$5:$D$304,"ME",'Auction Log'!$C$5:$C$304,E10)</f>
        <v>0</v>
      </c>
      <c r="G10" s="19" t="n">
        <f aca="false">IF(COUNTIF('Auction Log'!$C$5:$C$304,E10)&gt;=14,SUMIFS('Auction Log'!$E$5:$E$304,'Auction Log'!$C$5:$C$304,E10)/14,INDEX('Draft HQ'!$I$6:$I$11,MATCH(E10,'Draft HQ'!$H$6:$H$11,0)))</f>
        <v>1</v>
      </c>
      <c r="H10" s="19" t="n">
        <f aca="false">F10-G10</f>
        <v>-1</v>
      </c>
      <c r="I10" s="18" t="str">
        <f aca="false">IF('Draft HQ'!$B$8&lt;15,"BUILDING",IF(H10&gt;MAX(2,G10*20%),"OVERSPENT",IF(H10&lt;-MAX(2,G10*20%),"EFFICIENT","ON PLAN")))</f>
        <v>BUILDING</v>
      </c>
      <c r="J10" s="4"/>
      <c r="K10" s="4"/>
      <c r="L10" s="4"/>
      <c r="M10" s="4"/>
      <c r="N10" s="4"/>
      <c r="O10" s="4"/>
      <c r="P10" s="4"/>
      <c r="Q10" s="4"/>
    </row>
    <row r="11" customFormat="false" ht="15" hidden="false" customHeight="true" outlineLevel="0" collapsed="false">
      <c r="A11" s="12" t="s">
        <v>666</v>
      </c>
      <c r="B11" s="68" t="n">
        <f aca="false">'Draft HQ'!B8/15</f>
        <v>0</v>
      </c>
      <c r="C11" s="4"/>
      <c r="D11" s="4"/>
      <c r="E11" s="18" t="s">
        <v>37</v>
      </c>
      <c r="F11" s="19" t="n">
        <f aca="false">SUMIFS('Auction Log'!$E$5:$E$304,'Auction Log'!$D$5:$D$304,"ME",'Auction Log'!$C$5:$C$304,E11)</f>
        <v>0</v>
      </c>
      <c r="G11" s="19" t="n">
        <f aca="false">IF(COUNTIF('Auction Log'!$C$5:$C$304,E11)&gt;=14,SUMIFS('Auction Log'!$E$5:$E$304,'Auction Log'!$C$5:$C$304,E11)/14,INDEX('Draft HQ'!$I$6:$I$11,MATCH(E11,'Draft HQ'!$H$6:$H$11,0)))</f>
        <v>1</v>
      </c>
      <c r="H11" s="19" t="n">
        <f aca="false">F11-G11</f>
        <v>-1</v>
      </c>
      <c r="I11" s="18" t="str">
        <f aca="false">IF('Draft HQ'!$B$8&lt;15,"BUILDING",IF(H11&gt;MAX(2,G11*20%),"OVERSPENT",IF(H11&lt;-MAX(2,G11*20%),"EFFICIENT","ON PLAN")))</f>
        <v>BUILDING</v>
      </c>
      <c r="J11" s="4"/>
      <c r="K11" s="4"/>
      <c r="L11" s="4"/>
      <c r="M11" s="4"/>
      <c r="N11" s="4"/>
      <c r="O11" s="4"/>
      <c r="P11" s="4"/>
      <c r="Q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15" hidden="false" customHeight="true" outlineLevel="0" collapsed="false">
      <c r="A13" s="5" t="s">
        <v>667</v>
      </c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customFormat="false" ht="27.75" hidden="false" customHeight="true" outlineLevel="0" collapsed="false">
      <c r="A14" s="10" t="s">
        <v>668</v>
      </c>
      <c r="B14" s="10" t="s">
        <v>669</v>
      </c>
      <c r="C14" s="10" t="s">
        <v>670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customFormat="false" ht="15" hidden="false" customHeight="false" outlineLevel="0" collapsed="false">
      <c r="A15" s="15" t="s">
        <v>671</v>
      </c>
      <c r="B15" s="34" t="n">
        <f aca="false">IF(B6=0,0,MAX(0,MIN(100,75+(B8/B6)*100)))</f>
        <v>0</v>
      </c>
      <c r="C15" s="15" t="str">
        <f aca="false">REPT("★",ROUND(B15/20,0))</f>
        <v/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customFormat="false" ht="15" hidden="false" customHeight="false" outlineLevel="0" collapsed="false">
      <c r="A16" s="18" t="s">
        <v>672</v>
      </c>
      <c r="B16" s="36" t="n">
        <f aca="false">IF(B10=0,0,MAX(0,MIN(100,75+(B9/B10-1)*100)))</f>
        <v>0</v>
      </c>
      <c r="C16" s="18" t="str">
        <f aca="false">REPT("★",ROUND(B16/20,0))</f>
        <v/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5" hidden="false" customHeight="false" outlineLevel="0" collapsed="false">
      <c r="A17" s="18" t="s">
        <v>673</v>
      </c>
      <c r="B17" s="36" t="n">
        <f aca="false">100*(MIN(1,'Team Tracker'!I5/5)*35%+MIN(1,'Team Tracker'!J5/5)*35%+MIN(1,'Team Tracker'!H5)*10%+MIN(1,'Team Tracker'!K5)*10%+MIN(1,'Team Tracker'!L5)*5%+MIN(1,'Team Tracker'!M5)*5%)</f>
        <v>0</v>
      </c>
      <c r="C17" s="18" t="str">
        <f aca="false">REPT("★",ROUND(B17/20,0))</f>
        <v/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customFormat="false" ht="15" hidden="false" customHeight="false" outlineLevel="0" collapsed="false">
      <c r="A18" s="18" t="s">
        <v>674</v>
      </c>
      <c r="B18" s="36" t="n">
        <f aca="false">MIN(100,COUNTIFS('Auction Log'!$D$5:$D$304,"ME",'Auction Log'!$G$5:$G$304,"&gt;=40")*35+COUNTIFS('Auction Log'!$D$5:$D$304,"ME",'Auction Log'!$G$5:$G$304,"&gt;=25",'Auction Log'!$G$5:$G$304,"&lt;40")*15)</f>
        <v>0</v>
      </c>
      <c r="C18" s="18" t="str">
        <f aca="false">REPT("★",ROUND(B18/20,0))</f>
        <v/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customFormat="false" ht="15" hidden="false" customHeight="false" outlineLevel="0" collapsed="false">
      <c r="A19" s="18" t="s">
        <v>675</v>
      </c>
      <c r="B19" s="36" t="n">
        <f aca="false">IFERROR(MAX(0,MIN(100,75+(AVERAGE('My Roster'!$F$16:$F$21)/AVERAGE('Auction Log'!$K$5:$K$304)-1)*50)),0)</f>
        <v>0</v>
      </c>
      <c r="C19" s="18" t="str">
        <f aca="false">REPT("★",ROUND(B19/20,0))</f>
        <v/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customFormat="false" ht="15" hidden="false" customHeight="true" outlineLevel="0" collapsed="false">
      <c r="A21" s="69" t="s">
        <v>676</v>
      </c>
      <c r="B21" s="69" t="n">
        <f aca="false">ROUND(B15*25%+B16*30%+B17*20%+B18*15%+B19*10%,0)</f>
        <v>0</v>
      </c>
      <c r="C21" s="69" t="str">
        <f aca="false">IF(B5&lt;&gt;"COMPLETE","INCOMPLETE",IF(B21&gt;=97,"A+",IF(B21&gt;=93,"A",IF(B21&gt;=90,"A-",IF(B21&gt;=87,"B+",IF(B21&gt;=83,"B",IF(B21&gt;=80,"B-",IF(B21&gt;=77,"C+",IF(B21&gt;=73,"C",IF(B21&gt;=70,"C-","D"))))))))))</f>
        <v>INCOMPLETE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customFormat="false" ht="15" hidden="false" customHeight="true" outlineLevel="0" collapsed="false">
      <c r="A23" s="5" t="s">
        <v>677</v>
      </c>
      <c r="B23" s="5"/>
      <c r="C23" s="5"/>
      <c r="D23" s="5"/>
      <c r="E23" s="5"/>
      <c r="F23" s="5"/>
      <c r="G23" s="5"/>
      <c r="H23" s="5"/>
      <c r="I23" s="5"/>
      <c r="J23" s="4"/>
      <c r="K23" s="4"/>
      <c r="L23" s="4"/>
      <c r="M23" s="4"/>
      <c r="N23" s="4"/>
      <c r="O23" s="4"/>
      <c r="P23" s="4"/>
      <c r="Q23" s="4"/>
    </row>
    <row r="24" customFormat="false" ht="27.75" hidden="false" customHeight="true" outlineLevel="0" collapsed="false">
      <c r="A24" s="10" t="s">
        <v>498</v>
      </c>
      <c r="B24" s="10" t="s">
        <v>7</v>
      </c>
      <c r="C24" s="10" t="s">
        <v>58</v>
      </c>
      <c r="D24" s="10" t="s">
        <v>463</v>
      </c>
      <c r="E24" s="10" t="s">
        <v>500</v>
      </c>
      <c r="F24" s="10" t="s">
        <v>501</v>
      </c>
      <c r="G24" s="10" t="s">
        <v>499</v>
      </c>
      <c r="H24" s="4"/>
      <c r="I24" s="4"/>
      <c r="J24" s="4"/>
      <c r="K24" s="4"/>
      <c r="L24" s="4"/>
      <c r="M24" s="4"/>
      <c r="N24" s="4"/>
      <c r="O24" s="4"/>
      <c r="P24" s="4"/>
      <c r="Q24" s="4"/>
    </row>
    <row r="25" customFormat="false" ht="15" hidden="false" customHeight="false" outlineLevel="0" collapsed="false">
      <c r="A25" s="15" t="str">
        <f aca="false">'My Roster'!A7</f>
        <v>QB</v>
      </c>
      <c r="B25" s="15" t="str">
        <f aca="false">IF('My Roster'!B7="","",'My Roster'!B7)</f>
        <v/>
      </c>
      <c r="C25" s="15" t="str">
        <f aca="false">IF(B25="","",'My Roster'!C7)</f>
        <v/>
      </c>
      <c r="D25" s="16" t="str">
        <f aca="false">IF(B25="","",'My Roster'!D7)</f>
        <v/>
      </c>
      <c r="E25" s="16" t="str">
        <f aca="false">IF(B25="","",'My Roster'!G7)</f>
        <v/>
      </c>
      <c r="F25" s="16" t="str">
        <f aca="false">IF(B25="","",'My Roster'!H7)</f>
        <v/>
      </c>
      <c r="G25" s="34" t="str">
        <f aca="false">IF(B25="","",'My Roster'!F7)</f>
        <v/>
      </c>
      <c r="H25" s="4"/>
      <c r="I25" s="4"/>
      <c r="J25" s="4"/>
      <c r="K25" s="4"/>
      <c r="L25" s="4"/>
      <c r="M25" s="4"/>
      <c r="N25" s="4"/>
      <c r="O25" s="4"/>
      <c r="P25" s="4"/>
      <c r="Q25" s="4"/>
    </row>
    <row r="26" customFormat="false" ht="15" hidden="false" customHeight="false" outlineLevel="0" collapsed="false">
      <c r="A26" s="18" t="str">
        <f aca="false">'My Roster'!A8</f>
        <v>RB1</v>
      </c>
      <c r="B26" s="18" t="str">
        <f aca="false">IF('My Roster'!B8="","",'My Roster'!B8)</f>
        <v/>
      </c>
      <c r="C26" s="18" t="str">
        <f aca="false">IF(B26="","",'My Roster'!C8)</f>
        <v/>
      </c>
      <c r="D26" s="19" t="str">
        <f aca="false">IF(B26="","",'My Roster'!D8)</f>
        <v/>
      </c>
      <c r="E26" s="19" t="str">
        <f aca="false">IF(B26="","",'My Roster'!G8)</f>
        <v/>
      </c>
      <c r="F26" s="19" t="str">
        <f aca="false">IF(B26="","",'My Roster'!H8)</f>
        <v/>
      </c>
      <c r="G26" s="36" t="str">
        <f aca="false">IF(B26="","",'My Roster'!F8)</f>
        <v/>
      </c>
      <c r="H26" s="4"/>
      <c r="I26" s="4"/>
      <c r="J26" s="4"/>
      <c r="K26" s="4"/>
      <c r="L26" s="4"/>
      <c r="M26" s="4"/>
      <c r="N26" s="4"/>
      <c r="O26" s="4"/>
      <c r="P26" s="4"/>
      <c r="Q26" s="4"/>
    </row>
    <row r="27" customFormat="false" ht="15" hidden="false" customHeight="false" outlineLevel="0" collapsed="false">
      <c r="A27" s="18" t="str">
        <f aca="false">'My Roster'!A9</f>
        <v>RB2</v>
      </c>
      <c r="B27" s="18" t="str">
        <f aca="false">IF('My Roster'!B9="","",'My Roster'!B9)</f>
        <v/>
      </c>
      <c r="C27" s="18" t="str">
        <f aca="false">IF(B27="","",'My Roster'!C9)</f>
        <v/>
      </c>
      <c r="D27" s="19" t="str">
        <f aca="false">IF(B27="","",'My Roster'!D9)</f>
        <v/>
      </c>
      <c r="E27" s="19" t="str">
        <f aca="false">IF(B27="","",'My Roster'!G9)</f>
        <v/>
      </c>
      <c r="F27" s="19" t="str">
        <f aca="false">IF(B27="","",'My Roster'!H9)</f>
        <v/>
      </c>
      <c r="G27" s="36" t="str">
        <f aca="false">IF(B27="","",'My Roster'!F9)</f>
        <v/>
      </c>
      <c r="H27" s="4"/>
      <c r="I27" s="4"/>
      <c r="J27" s="4"/>
      <c r="K27" s="4"/>
      <c r="L27" s="4"/>
      <c r="M27" s="4"/>
      <c r="N27" s="4"/>
      <c r="O27" s="4"/>
      <c r="P27" s="4"/>
      <c r="Q27" s="4"/>
    </row>
    <row r="28" customFormat="false" ht="15" hidden="false" customHeight="false" outlineLevel="0" collapsed="false">
      <c r="A28" s="18" t="str">
        <f aca="false">'My Roster'!A10</f>
        <v>WR1</v>
      </c>
      <c r="B28" s="18" t="str">
        <f aca="false">IF('My Roster'!B10="","",'My Roster'!B10)</f>
        <v/>
      </c>
      <c r="C28" s="18" t="str">
        <f aca="false">IF(B28="","",'My Roster'!C10)</f>
        <v/>
      </c>
      <c r="D28" s="19" t="str">
        <f aca="false">IF(B28="","",'My Roster'!D10)</f>
        <v/>
      </c>
      <c r="E28" s="19" t="str">
        <f aca="false">IF(B28="","",'My Roster'!G10)</f>
        <v/>
      </c>
      <c r="F28" s="19" t="str">
        <f aca="false">IF(B28="","",'My Roster'!H10)</f>
        <v/>
      </c>
      <c r="G28" s="36" t="str">
        <f aca="false">IF(B28="","",'My Roster'!F10)</f>
        <v/>
      </c>
      <c r="H28" s="4"/>
      <c r="I28" s="4"/>
      <c r="J28" s="4"/>
      <c r="K28" s="4"/>
      <c r="L28" s="4"/>
      <c r="M28" s="4"/>
      <c r="N28" s="4"/>
      <c r="O28" s="4"/>
      <c r="P28" s="4"/>
      <c r="Q28" s="4"/>
    </row>
    <row r="29" customFormat="false" ht="15" hidden="false" customHeight="false" outlineLevel="0" collapsed="false">
      <c r="A29" s="18" t="str">
        <f aca="false">'My Roster'!A11</f>
        <v>WR2</v>
      </c>
      <c r="B29" s="18" t="str">
        <f aca="false">IF('My Roster'!B11="","",'My Roster'!B11)</f>
        <v/>
      </c>
      <c r="C29" s="18" t="str">
        <f aca="false">IF(B29="","",'My Roster'!C11)</f>
        <v/>
      </c>
      <c r="D29" s="19" t="str">
        <f aca="false">IF(B29="","",'My Roster'!D11)</f>
        <v/>
      </c>
      <c r="E29" s="19" t="str">
        <f aca="false">IF(B29="","",'My Roster'!G11)</f>
        <v/>
      </c>
      <c r="F29" s="19" t="str">
        <f aca="false">IF(B29="","",'My Roster'!H11)</f>
        <v/>
      </c>
      <c r="G29" s="36" t="str">
        <f aca="false">IF(B29="","",'My Roster'!F11)</f>
        <v/>
      </c>
      <c r="H29" s="4"/>
      <c r="I29" s="4"/>
      <c r="J29" s="4"/>
      <c r="K29" s="4"/>
      <c r="L29" s="4"/>
      <c r="M29" s="4"/>
      <c r="N29" s="4"/>
      <c r="O29" s="4"/>
      <c r="P29" s="4"/>
      <c r="Q29" s="4"/>
    </row>
    <row r="30" customFormat="false" ht="15" hidden="false" customHeight="false" outlineLevel="0" collapsed="false">
      <c r="A30" s="18" t="str">
        <f aca="false">'My Roster'!A12</f>
        <v>TE</v>
      </c>
      <c r="B30" s="18" t="str">
        <f aca="false">IF('My Roster'!B12="","",'My Roster'!B12)</f>
        <v/>
      </c>
      <c r="C30" s="18" t="str">
        <f aca="false">IF(B30="","",'My Roster'!C12)</f>
        <v/>
      </c>
      <c r="D30" s="19" t="str">
        <f aca="false">IF(B30="","",'My Roster'!D12)</f>
        <v/>
      </c>
      <c r="E30" s="19" t="str">
        <f aca="false">IF(B30="","",'My Roster'!G12)</f>
        <v/>
      </c>
      <c r="F30" s="19" t="str">
        <f aca="false">IF(B30="","",'My Roster'!H12)</f>
        <v/>
      </c>
      <c r="G30" s="36" t="str">
        <f aca="false">IF(B30="","",'My Roster'!F12)</f>
        <v/>
      </c>
      <c r="H30" s="4"/>
      <c r="I30" s="4"/>
      <c r="J30" s="4"/>
      <c r="K30" s="4"/>
      <c r="L30" s="4"/>
      <c r="M30" s="4"/>
      <c r="N30" s="4"/>
      <c r="O30" s="4"/>
      <c r="P30" s="4"/>
      <c r="Q30" s="4"/>
    </row>
    <row r="31" customFormat="false" ht="15" hidden="false" customHeight="false" outlineLevel="0" collapsed="false">
      <c r="A31" s="18" t="str">
        <f aca="false">'My Roster'!A13</f>
        <v>FLEX</v>
      </c>
      <c r="B31" s="18" t="str">
        <f aca="false">IF('My Roster'!B13="","",'My Roster'!B13)</f>
        <v/>
      </c>
      <c r="C31" s="18" t="str">
        <f aca="false">IF(B31="","",'My Roster'!C13)</f>
        <v/>
      </c>
      <c r="D31" s="19" t="str">
        <f aca="false">IF(B31="","",'My Roster'!D13)</f>
        <v/>
      </c>
      <c r="E31" s="19" t="str">
        <f aca="false">IF(B31="","",'My Roster'!G13)</f>
        <v/>
      </c>
      <c r="F31" s="19" t="str">
        <f aca="false">IF(B31="","",'My Roster'!H13)</f>
        <v/>
      </c>
      <c r="G31" s="36" t="str">
        <f aca="false">IF(B31="","",'My Roster'!F13)</f>
        <v/>
      </c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5" hidden="false" customHeight="false" outlineLevel="0" collapsed="false">
      <c r="A32" s="18" t="str">
        <f aca="false">'My Roster'!A14</f>
        <v>D/ST</v>
      </c>
      <c r="B32" s="18" t="str">
        <f aca="false">IF('My Roster'!B14="","",'My Roster'!B14)</f>
        <v/>
      </c>
      <c r="C32" s="18" t="str">
        <f aca="false">IF(B32="","",'My Roster'!C14)</f>
        <v/>
      </c>
      <c r="D32" s="19" t="str">
        <f aca="false">IF(B32="","",'My Roster'!D14)</f>
        <v/>
      </c>
      <c r="E32" s="19" t="str">
        <f aca="false">IF(B32="","",'My Roster'!G14)</f>
        <v/>
      </c>
      <c r="F32" s="19" t="str">
        <f aca="false">IF(B32="","",'My Roster'!H14)</f>
        <v/>
      </c>
      <c r="G32" s="36" t="str">
        <f aca="false">IF(B32="","",'My Roster'!F14)</f>
        <v/>
      </c>
      <c r="H32" s="4"/>
      <c r="I32" s="4"/>
      <c r="J32" s="4"/>
      <c r="K32" s="4"/>
      <c r="L32" s="4"/>
      <c r="M32" s="4"/>
      <c r="N32" s="4"/>
      <c r="O32" s="4"/>
      <c r="P32" s="4"/>
      <c r="Q32" s="4"/>
    </row>
    <row r="33" customFormat="false" ht="15" hidden="false" customHeight="false" outlineLevel="0" collapsed="false">
      <c r="A33" s="18" t="str">
        <f aca="false">'My Roster'!A15</f>
        <v>K</v>
      </c>
      <c r="B33" s="18" t="str">
        <f aca="false">IF('My Roster'!B15="","",'My Roster'!B15)</f>
        <v/>
      </c>
      <c r="C33" s="18" t="str">
        <f aca="false">IF(B33="","",'My Roster'!C15)</f>
        <v/>
      </c>
      <c r="D33" s="19" t="str">
        <f aca="false">IF(B33="","",'My Roster'!D15)</f>
        <v/>
      </c>
      <c r="E33" s="19" t="str">
        <f aca="false">IF(B33="","",'My Roster'!G15)</f>
        <v/>
      </c>
      <c r="F33" s="19" t="str">
        <f aca="false">IF(B33="","",'My Roster'!H15)</f>
        <v/>
      </c>
      <c r="G33" s="36" t="str">
        <f aca="false">IF(B33="","",'My Roster'!F15)</f>
        <v/>
      </c>
      <c r="H33" s="4"/>
      <c r="I33" s="4"/>
      <c r="J33" s="4"/>
      <c r="K33" s="4"/>
      <c r="L33" s="4"/>
      <c r="M33" s="4"/>
      <c r="N33" s="4"/>
      <c r="O33" s="4"/>
      <c r="P33" s="4"/>
      <c r="Q33" s="4"/>
    </row>
    <row r="34" customFormat="false" ht="15" hidden="false" customHeight="false" outlineLevel="0" collapsed="false">
      <c r="A34" s="18" t="str">
        <f aca="false">'My Roster'!A16</f>
        <v>BE1</v>
      </c>
      <c r="B34" s="18" t="str">
        <f aca="false">IF('My Roster'!B16="","",'My Roster'!B16)</f>
        <v/>
      </c>
      <c r="C34" s="18" t="str">
        <f aca="false">IF(B34="","",'My Roster'!C16)</f>
        <v/>
      </c>
      <c r="D34" s="19" t="str">
        <f aca="false">IF(B34="","",'My Roster'!D16)</f>
        <v/>
      </c>
      <c r="E34" s="19" t="str">
        <f aca="false">IF(B34="","",'My Roster'!G16)</f>
        <v/>
      </c>
      <c r="F34" s="19" t="str">
        <f aca="false">IF(B34="","",'My Roster'!H16)</f>
        <v/>
      </c>
      <c r="G34" s="36" t="str">
        <f aca="false">IF(B34="","",'My Roster'!F16)</f>
        <v/>
      </c>
      <c r="H34" s="4"/>
      <c r="I34" s="4"/>
      <c r="J34" s="4"/>
      <c r="K34" s="4"/>
      <c r="L34" s="4"/>
      <c r="M34" s="4"/>
      <c r="N34" s="4"/>
      <c r="O34" s="4"/>
      <c r="P34" s="4"/>
      <c r="Q34" s="4"/>
    </row>
    <row r="35" customFormat="false" ht="15" hidden="false" customHeight="false" outlineLevel="0" collapsed="false">
      <c r="A35" s="18" t="str">
        <f aca="false">'My Roster'!A17</f>
        <v>BE2</v>
      </c>
      <c r="B35" s="18" t="str">
        <f aca="false">IF('My Roster'!B17="","",'My Roster'!B17)</f>
        <v/>
      </c>
      <c r="C35" s="18" t="str">
        <f aca="false">IF(B35="","",'My Roster'!C17)</f>
        <v/>
      </c>
      <c r="D35" s="19" t="str">
        <f aca="false">IF(B35="","",'My Roster'!D17)</f>
        <v/>
      </c>
      <c r="E35" s="19" t="str">
        <f aca="false">IF(B35="","",'My Roster'!G17)</f>
        <v/>
      </c>
      <c r="F35" s="19" t="str">
        <f aca="false">IF(B35="","",'My Roster'!H17)</f>
        <v/>
      </c>
      <c r="G35" s="36" t="str">
        <f aca="false">IF(B35="","",'My Roster'!F17)</f>
        <v/>
      </c>
      <c r="H35" s="4"/>
      <c r="I35" s="4"/>
      <c r="J35" s="4"/>
      <c r="K35" s="4"/>
      <c r="L35" s="4"/>
      <c r="M35" s="4"/>
      <c r="N35" s="4"/>
      <c r="O35" s="4"/>
      <c r="P35" s="4"/>
      <c r="Q35" s="4"/>
    </row>
    <row r="36" customFormat="false" ht="15" hidden="false" customHeight="false" outlineLevel="0" collapsed="false">
      <c r="A36" s="18" t="str">
        <f aca="false">'My Roster'!A18</f>
        <v>BE3</v>
      </c>
      <c r="B36" s="18" t="str">
        <f aca="false">IF('My Roster'!B18="","",'My Roster'!B18)</f>
        <v/>
      </c>
      <c r="C36" s="18" t="str">
        <f aca="false">IF(B36="","",'My Roster'!C18)</f>
        <v/>
      </c>
      <c r="D36" s="19" t="str">
        <f aca="false">IF(B36="","",'My Roster'!D18)</f>
        <v/>
      </c>
      <c r="E36" s="19" t="str">
        <f aca="false">IF(B36="","",'My Roster'!G18)</f>
        <v/>
      </c>
      <c r="F36" s="19" t="str">
        <f aca="false">IF(B36="","",'My Roster'!H18)</f>
        <v/>
      </c>
      <c r="G36" s="36" t="str">
        <f aca="false">IF(B36="","",'My Roster'!F18)</f>
        <v/>
      </c>
      <c r="H36" s="4"/>
      <c r="I36" s="4"/>
      <c r="J36" s="4"/>
      <c r="K36" s="4"/>
      <c r="L36" s="4"/>
      <c r="M36" s="4"/>
      <c r="N36" s="4"/>
      <c r="O36" s="4"/>
      <c r="P36" s="4"/>
      <c r="Q36" s="4"/>
    </row>
    <row r="37" customFormat="false" ht="15" hidden="false" customHeight="false" outlineLevel="0" collapsed="false">
      <c r="A37" s="18" t="str">
        <f aca="false">'My Roster'!A19</f>
        <v>BE4</v>
      </c>
      <c r="B37" s="18" t="str">
        <f aca="false">IF('My Roster'!B19="","",'My Roster'!B19)</f>
        <v/>
      </c>
      <c r="C37" s="18" t="str">
        <f aca="false">IF(B37="","",'My Roster'!C19)</f>
        <v/>
      </c>
      <c r="D37" s="19" t="str">
        <f aca="false">IF(B37="","",'My Roster'!D19)</f>
        <v/>
      </c>
      <c r="E37" s="19" t="str">
        <f aca="false">IF(B37="","",'My Roster'!G19)</f>
        <v/>
      </c>
      <c r="F37" s="19" t="str">
        <f aca="false">IF(B37="","",'My Roster'!H19)</f>
        <v/>
      </c>
      <c r="G37" s="36" t="str">
        <f aca="false">IF(B37="","",'My Roster'!F19)</f>
        <v/>
      </c>
      <c r="H37" s="4"/>
      <c r="I37" s="4"/>
      <c r="J37" s="4"/>
      <c r="K37" s="4"/>
      <c r="L37" s="4"/>
      <c r="M37" s="4"/>
      <c r="N37" s="4"/>
      <c r="O37" s="4"/>
      <c r="P37" s="4"/>
      <c r="Q37" s="4"/>
    </row>
    <row r="38" customFormat="false" ht="15" hidden="false" customHeight="false" outlineLevel="0" collapsed="false">
      <c r="A38" s="18" t="str">
        <f aca="false">'My Roster'!A20</f>
        <v>BE5</v>
      </c>
      <c r="B38" s="18" t="str">
        <f aca="false">IF('My Roster'!B20="","",'My Roster'!B20)</f>
        <v/>
      </c>
      <c r="C38" s="18" t="str">
        <f aca="false">IF(B38="","",'My Roster'!C20)</f>
        <v/>
      </c>
      <c r="D38" s="19" t="str">
        <f aca="false">IF(B38="","",'My Roster'!D20)</f>
        <v/>
      </c>
      <c r="E38" s="19" t="str">
        <f aca="false">IF(B38="","",'My Roster'!G20)</f>
        <v/>
      </c>
      <c r="F38" s="19" t="str">
        <f aca="false">IF(B38="","",'My Roster'!H20)</f>
        <v/>
      </c>
      <c r="G38" s="36" t="str">
        <f aca="false">IF(B38="","",'My Roster'!F20)</f>
        <v/>
      </c>
      <c r="H38" s="4"/>
      <c r="I38" s="4"/>
      <c r="J38" s="4"/>
      <c r="K38" s="4"/>
      <c r="L38" s="4"/>
      <c r="M38" s="4"/>
      <c r="N38" s="4"/>
      <c r="O38" s="4"/>
      <c r="P38" s="4"/>
      <c r="Q38" s="4"/>
    </row>
    <row r="39" customFormat="false" ht="15" hidden="false" customHeight="false" outlineLevel="0" collapsed="false">
      <c r="A39" s="18" t="str">
        <f aca="false">'My Roster'!A21</f>
        <v>BE6</v>
      </c>
      <c r="B39" s="18" t="str">
        <f aca="false">IF('My Roster'!B21="","",'My Roster'!B21)</f>
        <v/>
      </c>
      <c r="C39" s="18" t="str">
        <f aca="false">IF(B39="","",'My Roster'!C21)</f>
        <v/>
      </c>
      <c r="D39" s="19" t="str">
        <f aca="false">IF(B39="","",'My Roster'!D21)</f>
        <v/>
      </c>
      <c r="E39" s="19" t="str">
        <f aca="false">IF(B39="","",'My Roster'!G21)</f>
        <v/>
      </c>
      <c r="F39" s="19" t="str">
        <f aca="false">IF(B39="","",'My Roster'!H21)</f>
        <v/>
      </c>
      <c r="G39" s="36" t="str">
        <f aca="false">IF(B39="","",'My Roster'!F21)</f>
        <v/>
      </c>
      <c r="H39" s="4"/>
      <c r="I39" s="4"/>
      <c r="J39" s="4"/>
      <c r="K39" s="4"/>
      <c r="L39" s="4"/>
      <c r="M39" s="4"/>
      <c r="N39" s="4"/>
      <c r="O39" s="4"/>
      <c r="P39" s="4"/>
      <c r="Q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</sheetData>
  <mergeCells count="6">
    <mergeCell ref="A1:Q1"/>
    <mergeCell ref="A2:Q2"/>
    <mergeCell ref="A4:C4"/>
    <mergeCell ref="E4:I4"/>
    <mergeCell ref="A13:C13"/>
    <mergeCell ref="A23:I23"/>
  </mergeCells>
  <conditionalFormatting sqref="H6:H11">
    <cfRule type="cellIs" priority="2" operator="greaterThan" aboveAverage="0" equalAverage="0" bottom="0" percent="0" rank="0" text="" dxfId="103">
      <formula>0</formula>
    </cfRule>
    <cfRule type="cellIs" priority="3" operator="lessThan" aboveAverage="0" equalAverage="0" bottom="0" percent="0" rank="0" text="" dxfId="104">
      <formula>0</formula>
    </cfRule>
  </conditionalFormatting>
  <conditionalFormatting sqref="I6:I11">
    <cfRule type="containsText" priority="4" operator="containsText" aboveAverage="0" equalAverage="0" bottom="0" percent="0" rank="0" text="OVERSPENT" dxfId="105">
      <formula>NOT(ISERROR(SEARCH("OVERSPENT",I6)))</formula>
    </cfRule>
    <cfRule type="containsText" priority="5" operator="containsText" aboveAverage="0" equalAverage="0" bottom="0" percent="0" rank="0" text="EFFICIENT" dxfId="106">
      <formula>NOT(ISERROR(SEARCH("EFFICIENT",I6)))</formula>
    </cfRule>
  </conditionalFormatting>
  <conditionalFormatting sqref="F25:F39">
    <cfRule type="cellIs" priority="6" operator="greaterThan" aboveAverage="0" equalAverage="0" bottom="0" percent="0" rank="0" text="" dxfId="107">
      <formula>0</formula>
    </cfRule>
    <cfRule type="cellIs" priority="7" operator="lessThan" aboveAverage="0" equalAverage="0" bottom="0" percent="0" rank="0" text="" dxfId="10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2026-08-25T17:49:36Z</dcterms:created>
  <dc:creator>Lemons, Jared</dc:creator>
  <dc:description/>
  <dc:language>en-US</dc:language>
  <cp:lastModifiedBy/>
  <dcterms:modified xsi:type="dcterms:W3CDTF">2026-08-26T11:16:56Z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817c99-0b37-4a07-8277-96aa1f96b74b_ActionId">
    <vt:lpwstr>ae521606-a91e-403d-8005-98c3c7477a5e</vt:lpwstr>
  </property>
  <property fmtid="{D5CDD505-2E9C-101B-9397-08002B2CF9AE}" pid="3" name="MSIP_Label_9d817c99-0b37-4a07-8277-96aa1f96b74b_ContentBits">
    <vt:lpwstr>0</vt:lpwstr>
  </property>
  <property fmtid="{D5CDD505-2E9C-101B-9397-08002B2CF9AE}" pid="4" name="MSIP_Label_9d817c99-0b37-4a07-8277-96aa1f96b74b_Enabled">
    <vt:lpwstr>true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etDate">
    <vt:lpwstr>2026-08-25T17:49:36Z</vt:lpwstr>
  </property>
  <property fmtid="{D5CDD505-2E9C-101B-9397-08002B2CF9AE}" pid="8" name="MSIP_Label_9d817c99-0b37-4a07-8277-96aa1f96b74b_SiteId">
    <vt:lpwstr>d11dfc6a-833a-4712-84db-fc468665e0e1</vt:lpwstr>
  </property>
</Properties>
</file>